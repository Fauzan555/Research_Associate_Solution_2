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FAUZAN\Downloads\"/>
    </mc:Choice>
  </mc:AlternateContent>
  <xr:revisionPtr revIDLastSave="0" documentId="13_ncr:1_{CC3B1D96-E009-4D89-BB44-508C6EEA1C4E}" xr6:coauthVersionLast="47" xr6:coauthVersionMax="47" xr10:uidLastSave="{00000000-0000-0000-0000-000000000000}"/>
  <bookViews>
    <workbookView xWindow="-108" yWindow="-108" windowWidth="23256" windowHeight="12456" activeTab="2" xr2:uid="{00000000-000D-0000-FFFF-FFFF00000000}"/>
  </bookViews>
  <sheets>
    <sheet name="1. Top 20 Startups" sheetId="1" r:id="rId1"/>
    <sheet name="2. Search Methodology" sheetId="2" r:id="rId2"/>
    <sheet name="3. Ranking Logic" sheetId="3" r:id="rId3"/>
  </sheets>
  <definedNames>
    <definedName name="_xlnm._FilterDatabase" localSheetId="0" hidden="1">'1. Top 20 Startups'!$A$6:$K$26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3" l="1"/>
  <c r="G27" i="1"/>
  <c r="I3" i="1"/>
  <c r="G3" i="1"/>
  <c r="E3" i="1"/>
  <c r="C3" i="1"/>
  <c r="C16" i="3" l="1"/>
  <c r="C14" i="3"/>
  <c r="C15" i="3"/>
  <c r="C12" i="3"/>
  <c r="C13" i="3"/>
  <c r="C17" i="3" l="1"/>
</calcChain>
</file>

<file path=xl/sharedStrings.xml><?xml version="1.0" encoding="utf-8"?>
<sst xmlns="http://schemas.openxmlformats.org/spreadsheetml/2006/main" count="277" uniqueCount="250">
  <si>
    <t>INDIA ENVIRONMENT &amp; CLIMATE-TECH STARTUPS — TOP 20 MARKET MAPPING</t>
  </si>
  <si>
    <t>Total Startups Mapped</t>
  </si>
  <si>
    <t>Combined Funding ($M)</t>
  </si>
  <si>
    <t>Average Funding ($M)</t>
  </si>
  <si>
    <t>Bengaluru &amp; NCR Share</t>
  </si>
  <si>
    <t>Rank</t>
  </si>
  <si>
    <t>Company Name</t>
  </si>
  <si>
    <t>Environment Sub-Sector</t>
  </si>
  <si>
    <t>Founded</t>
  </si>
  <si>
    <t>HQ City</t>
  </si>
  <si>
    <t>Founders / Key Leadership</t>
  </si>
  <si>
    <t>Total Funding ($M)</t>
  </si>
  <si>
    <t>FY24/FY25 Revenue &amp; Operational Scale</t>
  </si>
  <si>
    <t>Funding Stage</t>
  </si>
  <si>
    <t>Key Institutional Investors</t>
  </si>
  <si>
    <t>What They Do &amp; Why They Matter (Analyst Notes)</t>
  </si>
  <si>
    <t>GreenCell Mobility</t>
  </si>
  <si>
    <t>Electric Mass Transit (e-Buses)</t>
  </si>
  <si>
    <t>Mumbai</t>
  </si>
  <si>
    <t>Devndra Chawla (CEO), Eversource Capital</t>
  </si>
  <si>
    <t>₹500+ Cr Rev; 1,200+ e-buses on road</t>
  </si>
  <si>
    <t>Late Stage / PE</t>
  </si>
  <si>
    <t>Eversource Capital, IFC, NIIF, Sumitomo Mitsui</t>
  </si>
  <si>
    <t>Runs intercity (NueGo) and state-contracted electric buses. Largest capital raise in the space because electric buses require heavy upfront fleet financing.</t>
  </si>
  <si>
    <t>Fourth Partner Energy</t>
  </si>
  <si>
    <t>C&amp;I Distributed Solar &amp; Wind</t>
  </si>
  <si>
    <t>Hyderabad</t>
  </si>
  <si>
    <t>Saif Dhorajiwala, Vivek Subramanian, Vikas Saluguti</t>
  </si>
  <si>
    <t>₹500–1,000 Cr FY25 Rev; 1.5+ GW installed</t>
  </si>
  <si>
    <t>Series D</t>
  </si>
  <si>
    <t>IFC, ADB, DEG, Norfund, TPG Rise, BII</t>
  </si>
  <si>
    <t>Builds rooftop solar and open-access clean energy plants for factories and corporates looking to cut grid power costs and meet net-zero targets.</t>
  </si>
  <si>
    <t>Ather Energy</t>
  </si>
  <si>
    <t>Electric 2-Wheelers &amp; Fast Grid</t>
  </si>
  <si>
    <t>Bengaluru</t>
  </si>
  <si>
    <t>Tarun Mehta, Swapnil Jain</t>
  </si>
  <si>
    <t>₹2,305.2 Cr FY25 Rev; Listed via IPO (2025)</t>
  </si>
  <si>
    <t>Public (IPO)</t>
  </si>
  <si>
    <t>NIIF, Hero MotoCorp, Tiger Global, GIC</t>
  </si>
  <si>
    <t>Flagship EV scooter maker (450X, Rizta) that also built 'Ather Grid', one of India's widest public fast-charging networks.</t>
  </si>
  <si>
    <t>GreenLine Mobility</t>
  </si>
  <si>
    <t>Low-Emission Heavy Trucking (LNG/EV)</t>
  </si>
  <si>
    <t>Anand Mimani (CEO)</t>
  </si>
  <si>
    <t>Major long-haul green freight operator</t>
  </si>
  <si>
    <t>Growth Stage</t>
  </si>
  <si>
    <t>Essar Group, Nikhil Kamath, Green Finance Banks</t>
  </si>
  <si>
    <t>Tackles hard-to-abate heavy road logistics (cement, steel, mining) by replacing diesel trucks with LNG and heavy electric freight vehicles.</t>
  </si>
  <si>
    <t>Battery Smart</t>
  </si>
  <si>
    <t>EV Battery Swapping Network</t>
  </si>
  <si>
    <t>Gurugram</t>
  </si>
  <si>
    <t>Pulkit Khurana, Siddharth Sikka</t>
  </si>
  <si>
    <t>₹278.8 Cr FY25 Rev; $450M Val; 1,500+ stations</t>
  </si>
  <si>
    <t>Series C</t>
  </si>
  <si>
    <t>Tiger Global, LeapFrog, Blume Ventures, BII</t>
  </si>
  <si>
    <t>Operates a dense partner-led battery swapping network for e-rickshaws and delivery 2-wheelers, eliminating charger wait times and battery capex for drivers.</t>
  </si>
  <si>
    <t>Euler Motors</t>
  </si>
  <si>
    <t>Commercial Electric Cargo Vehicles</t>
  </si>
  <si>
    <t>New Delhi</t>
  </si>
  <si>
    <t>Saurav Kumar</t>
  </si>
  <si>
    <t>Leading heavy-payload e3W/e4W cargo brand</t>
  </si>
  <si>
    <t>GIC, British International Investment, Blume, Piramal</t>
  </si>
  <si>
    <t>Designs high-payload electric 3- and 4-wheeler cargo vehicles (HiLoad EV) built specifically for Indian road grades and intra-city warehouse logistics.</t>
  </si>
  <si>
    <t>Yulu</t>
  </si>
  <si>
    <t>Shared Micro-Mobility &amp; Last-Mile EVs</t>
  </si>
  <si>
    <t>Amit Gupta, RK Misra, Naveen Dachuri</t>
  </si>
  <si>
    <t>45,000+ shared EVs across major metros</t>
  </si>
  <si>
    <t>Bajaj Auto, Magna International, Blume, 3one4</t>
  </si>
  <si>
    <t>Started as dockless commuter bikes and pivoted smartly into powering quick-commerce (Zepto, Blinkit, Zomato) delivery riders with shared electric mopeds.</t>
  </si>
  <si>
    <t>GPS Renewables</t>
  </si>
  <si>
    <t>Bioenergy, Compressed Biogas (CBG) &amp; SAF</t>
  </si>
  <si>
    <t>Mainak Chakraborty, Sreekrishna Sankar</t>
  </si>
  <si>
    <t>$266M Val; ₹4,000+ Cr ($479M) active order book</t>
  </si>
  <si>
    <t>Neev Fund, Hivos-Triodos, Caspian, Sojitz</t>
  </si>
  <si>
    <t>Full-stack bioenergy engineering firm turning paddy straw and municipal organic waste into Bio-CNG and Sustainable Aviation Fuel; directly curbs stubble burning.</t>
  </si>
  <si>
    <t>BluSmart Mobility</t>
  </si>
  <si>
    <t>All-Electric Cab Fleet &amp; Charging Hubs</t>
  </si>
  <si>
    <t>Anmol Singh Jaggi, Punit K Goyal, Puneet Jaggi</t>
  </si>
  <si>
    <t>8,000+ EV cabs; 5,000+ charging points</t>
  </si>
  <si>
    <t>Series B</t>
  </si>
  <si>
    <t>bp ventures, ResponsAbility, Mayfield, Green Frontier</t>
  </si>
  <si>
    <t>Runs an all-electric ride-hailing service in NCR and Bengaluru along with massive mega-charging hubs, positioning itself as a zero-surge, zero-tailpipe-emission cab network.</t>
  </si>
  <si>
    <t>SUN Mobility</t>
  </si>
  <si>
    <t>Interoperable EV Battery Swapping</t>
  </si>
  <si>
    <t>Chetan Maini, Uday Khemka</t>
  </si>
  <si>
    <t>50:50 JV with IndianOil; 475+ global patents</t>
  </si>
  <si>
    <t>Vitol, Bosch, IndianOil (JV Partner), Maini Group</t>
  </si>
  <si>
    <t>Co-founded by Reva Electric pioneer Chetan Maini; sets up automated battery swap stations at IndianOil fuel pumps for 2- and 3-wheelers.</t>
  </si>
  <si>
    <t>SolarSquare</t>
  </si>
  <si>
    <t>Residential Rooftop Solar</t>
  </si>
  <si>
    <t>Neeraj Jain, Nikhil Nahar, Shreya Mishra</t>
  </si>
  <si>
    <t>Raised $53M Series C; active in 31+ cities</t>
  </si>
  <si>
    <t>B Capital, Lightspeed, Elevation, Lowercarbon</t>
  </si>
  <si>
    <t>Consumer-facing home and housing-society solar installer offering cyclone-proof modular mounts and guaranteed savings plans.</t>
  </si>
  <si>
    <t>LOHUM</t>
  </si>
  <si>
    <t>Li-Ion Battery Recycling &amp; Critical Minerals</t>
  </si>
  <si>
    <t>Noida</t>
  </si>
  <si>
    <t>Rajat Verma</t>
  </si>
  <si>
    <t>₹530 Cr FY24 Rev; $422M Valuation</t>
  </si>
  <si>
    <t>Series B+</t>
  </si>
  <si>
    <t>Baring PE, Singularity AMC, VenturEast, Cactus</t>
  </si>
  <si>
    <t>Recycles spent EV and consumer batteries to refine battery-grade lithium, cobalt, and nickel domestically, reducing India's import dependence.</t>
  </si>
  <si>
    <t>ChargeZone</t>
  </si>
  <si>
    <t>Highway &amp; Urban Fast EV Charging</t>
  </si>
  <si>
    <t>Vadodara</t>
  </si>
  <si>
    <t>Kartikey Hariyani</t>
  </si>
  <si>
    <t>₹54.8 Cr FY24 Rev; 13,500+ charging points</t>
  </si>
  <si>
    <t>Series A1</t>
  </si>
  <si>
    <t>BlueOrchard, British International Investment</t>
  </si>
  <si>
    <t>Builds high-speed DC charging networks along national highways for electric buses, freight fleets, and passenger cars, partly backed by solar microgrids.</t>
  </si>
  <si>
    <t>Log9 Materials</t>
  </si>
  <si>
    <t>Tropicalized EV Batteries &amp; Cell Tech</t>
  </si>
  <si>
    <t>Akshay Singhal, Kartik Hajela, Pankaj Sharma</t>
  </si>
  <si>
    <t>Commercial Li-ion cell line &amp; fast-charge packs</t>
  </si>
  <si>
    <t>Amara Raja, Petronas Ventures, Peak XV, Exfinity</t>
  </si>
  <si>
    <t>Spun out of graphene nanotechnology research to build rapid-charging, high-temperature-tolerant EV battery packs suited for Indian tropical heat.</t>
  </si>
  <si>
    <t>Ecozen Solutions</t>
  </si>
  <si>
    <t>Solar Cold Rooms &amp; Clean AgTech</t>
  </si>
  <si>
    <t>Pune</t>
  </si>
  <si>
    <t>Devendra Gupta, Prateek Singhal, Vivek Pandey</t>
  </si>
  <si>
    <t>₹1,159.5 Cr FY25 Rev | ₹95 Cr Net Profit</t>
  </si>
  <si>
    <t>Series C (Profitable)</t>
  </si>
  <si>
    <t>Nuveen, ResponsAbility, Northern Arc, Omnivore</t>
  </si>
  <si>
    <t>Standout profitable climate-hardware firm. Makes solar-powered farm cold storage (Ecofrost) and smart solar pump controllers (Ecotron) that prevent crop spoilage.</t>
  </si>
  <si>
    <t>Exponent Energy</t>
  </si>
  <si>
    <t>15-Minute Rapid EV Charging Tech</t>
  </si>
  <si>
    <t>Arun Vinayak, Suryaash Chojar</t>
  </si>
  <si>
    <t>₹44.1 Cr FY25 Rev (112% YoY growth)</t>
  </si>
  <si>
    <t>Eight Roads, Lightspeed, TDK Ventures, 3one4</t>
  </si>
  <si>
    <t>Founded by ex-Ather chief product officer; pairs custom thermal-managed battery packs with off-board cooling pumps to charge commercial EVs from 0-100% in 15 mins.</t>
  </si>
  <si>
    <t>Zypp Electric</t>
  </si>
  <si>
    <t>Electric Fleet-as-a-Service (Last Mile)</t>
  </si>
  <si>
    <t>Akash Gupta, Rashi Agarwal, Tushar Chhabra</t>
  </si>
  <si>
    <t>₹448.6 Cr FY25 Rev; 20,000+ delivery EVs</t>
  </si>
  <si>
    <t>Gogoro, ENEOS Group, Goodyear Ventures, IAN</t>
  </si>
  <si>
    <t>Leases electric 2-wheelers and manages battery swaps for gig delivery riders working with Swiggy, Zomato, Amazon, and Flipkart.</t>
  </si>
  <si>
    <t>River</t>
  </si>
  <si>
    <t>Multi-Utility Electric Scooters</t>
  </si>
  <si>
    <t>Aravind Mani, Vipin George</t>
  </si>
  <si>
    <t>₹103.8 Cr FY25 Rev; scaling factory output</t>
  </si>
  <si>
    <t>Yamaha Motor, Al-Futtaim, Lowercarbon, Toyota</t>
  </si>
  <si>
    <t>Makes the 'Indie'—dubbed the SUV of electric scooters—designed with high payload mounts and large storage for small business owners and self-employed workers.</t>
  </si>
  <si>
    <t>Recykal</t>
  </si>
  <si>
    <t>Digital Waste &amp; Circularity Marketplace</t>
  </si>
  <si>
    <t>Abhay Deshpande, Vikram Prabakar, Anirudha Jalan</t>
  </si>
  <si>
    <t>₹985.1 Cr FY25 Rev; $280M Valuation</t>
  </si>
  <si>
    <t>Morgan Stanley, Circulate Capital, 360 ONE</t>
  </si>
  <si>
    <t>B2B digital waste exchange connecting formal recyclers, kabadiwalas/aggregators, and FMCG/electronics brands to track plastic/e-waste recovery and EPR compliance.</t>
  </si>
  <si>
    <t>Attero Recycling</t>
  </si>
  <si>
    <t>Deep-Tech E-Waste &amp; Battery Extraction</t>
  </si>
  <si>
    <t>Nitin Gupta, Rohan Gupta</t>
  </si>
  <si>
    <t>₹962 Cr FY25 Rev | ₹14.6 Cr Net Profit</t>
  </si>
  <si>
    <t>IFC, Kalaari Capital, DFJ, Granite Hill</t>
  </si>
  <si>
    <t>Included despite lower VC dilution because of massive scale (₹962 Cr revenue, profitable) and 46+ global patents extracting 98%+ pure lithium, gold, and cobalt from e-waste.</t>
  </si>
  <si>
    <t>Total / Portfolio Summary (20 Companies)</t>
  </si>
  <si>
    <t>4 Confirmed Profitable / ₹1,000Cr+ Scale Leaders Included</t>
  </si>
  <si>
    <t>Analyst Note on Data &amp; Scope: Funding figures ($M) reflect cumulative institutional capital (equity + structured venture/project debt) cross-checked via Tracxn, Inc42, and company filings. Traditional utility-scale IPPs (e.g., ReNew Power, Greenko) and corporate auto OEM spin-offs (e.g., Tata Passenger Electric Mobility) were deliberately excluded to keep this list strictly focused on independent startups.</t>
  </si>
  <si>
    <t>DELIVERABLE (i): SEARCH METHODOLOGY &amp; SCREENING WORKFLOW</t>
  </si>
  <si>
    <t>Approach Overview: 'Environment startups' is a broad term. If we only look at waste-pickers or tree-planting apps, we miss where 90% of India's environmental capital and carbon reduction actually happens. To build a realistic, recruiter-ready market map, I broke the sector into 5 practical segments, pulled a 60+ company longlist from startup databases, removed big corporate subsidiaries, and cross-checked their latest FY24/FY25 revenues.</t>
  </si>
  <si>
    <t>Step</t>
  </si>
  <si>
    <t>Workflow Stage</t>
  </si>
  <si>
    <t>What I Did (Practical Execution)</t>
  </si>
  <si>
    <t>Why This Step Was Necessary</t>
  </si>
  <si>
    <t>Sources / Tools Used &amp; Funnel Output</t>
  </si>
  <si>
    <t>Step 1</t>
  </si>
  <si>
    <t>Defining the 'Environment' Scope</t>
  </si>
  <si>
    <t>Grouped India's environmental and climate-tech ecosystem into 5 core buckets:
1. Clean Mobility &amp; Green Freight (EV 2W/3W, e-buses, LNG/EV trucks)
2. EV Charging &amp; Battery Swapping Networks
3. Distributed Solar &amp; Biofuels (Rooftop solar, C&amp;I solar, Bio-CNG)
4. Circular Economy &amp; Recycling (Li-ion battery &amp; e-waste recovery, EPR marketplaces)
5. Climate-Smart AgTech (Solar cold storage &amp; solar irrigation)</t>
  </si>
  <si>
    <t>Searching only for 'environmental services' misses major decarbonization players. Grouping into these 5 verticals ensured coverage across energy transition, emissions reduction, and waste circularity.</t>
  </si>
  <si>
    <t>Mapped across ~1,580 active Indian climate-tech startups (~$12.8B total sector funding).</t>
  </si>
  <si>
    <t>Step 2</t>
  </si>
  <si>
    <t>Building the Initial Longlist (Top 60)</t>
  </si>
  <si>
    <t>Ran targeted searches using industry tags ('CleanTech India', 'Circular Economy', 'EV Infrastructure', 'Waste Management', 'Solar Tech', 'Bioenergy') and sorted companies by total institutional funding and latest valuation.</t>
  </si>
  <si>
    <t>No single article lists all 20 accurately—most public blog posts are outdated (2021–2022) or include shut-down companies. Pulling raw funding data created an objective starting list.</t>
  </si>
  <si>
    <t>Tracxn (India Climate Tech feed), Inc42 Startup Tracker, Dealroom, PitchBook summaries, and news archives.
Output: 60+ candidate companies.</t>
  </si>
  <si>
    <t>Step 3</t>
  </si>
  <si>
    <t>Filtering Out Non-Startups &amp; Spin-offs</t>
  </si>
  <si>
    <t>Manually reviewed company ownership and founding history to remove:
• Corporate auto spin-offs (e.g., Tata Passenger Electric Mobility, Mahindra Last Mile, Switch Mobility)
• Mature utility-scale power developers (IPPs) founded pre-2008 or operating as traditional infrastructure utilities (e.g., ReNew Power, Greenko, Avaada, Acme Solar)
• Consumer EV giant Ola Electric (already a massive mainstream auto cap).</t>
  </si>
  <si>
    <t>A true startup ranking shouldn't mix independent venture-backed founders with legacy billionaire conglomerates or 15-year-old multi-GW utility giants.</t>
  </si>
  <si>
    <t>Company cap tables &amp; parent entity checks.
Output: Narrowed from 60+ down to 28 genuine independent startups.</t>
  </si>
  <si>
    <t>Step 4</t>
  </si>
  <si>
    <t>Revenue Cross-Check &amp; Final Cut</t>
  </si>
  <si>
    <t>Cross-checked the remaining 28 startups against their latest FY24/FY25 MCA (Ministry of Corporate Affairs) revenue disclosures. Promoted highly profitable, high-revenue circular economy and agritech players (like Attero, Recykal, and Ecozen) into the final 20 over cash-burning early-stage mobility startups.</t>
  </si>
  <si>
    <t>Some waste-recycling and agritech startups raise less equity because they are profitable and fund growth through internal cash flow. Checking revenue prevented a pure 'VC hype' bias.</t>
  </si>
  <si>
    <t>Entrackr / Inc42 MCA financial breakdowns &amp; press releases.
Output: Final validated Top 20 list.</t>
  </si>
  <si>
    <t>KEY EXCLUSIONS LOG (WHY CERTAIN BIG NAMES WERE LEFT OUT)</t>
  </si>
  <si>
    <t>Excluded Company</t>
  </si>
  <si>
    <t>Category</t>
  </si>
  <si>
    <t>Approx. Scale / Funding</t>
  </si>
  <si>
    <t>Reason for Exclusion from This Startup Ranking</t>
  </si>
  <si>
    <t>Treatment</t>
  </si>
  <si>
    <t>ReNew Power / Greenko / Avaada</t>
  </si>
  <si>
    <t>Utility-Scale Solar &amp; Wind IPPs</t>
  </si>
  <si>
    <t>$1B–$3B+ Project Equity/Debt</t>
  </si>
  <si>
    <t>Operate as institutional infrastructure utilities bidding for gigawatt-scale government grid tenders rather than venture startups.</t>
  </si>
  <si>
    <t>Excluded</t>
  </si>
  <si>
    <t>Tata Passenger Electric Mobility</t>
  </si>
  <si>
    <t>Passenger EVs</t>
  </si>
  <si>
    <t>$1B+ (TPG Rise / Tata Motors)</t>
  </si>
  <si>
    <t>Wholly-owned subsidiary carved out of legacy automotive conglomerate Tata Motors.</t>
  </si>
  <si>
    <t>Mahindra Last Mile Mobility</t>
  </si>
  <si>
    <t>Commercial Electric 3-Wheelers</t>
  </si>
  <si>
    <t>$100M+ (IFC / Mahindra)</t>
  </si>
  <si>
    <t>Carved-out division of Mahindra &amp; Mahindra Ltd., not an independent founder-led startup.</t>
  </si>
  <si>
    <t>Ola Electric</t>
  </si>
  <si>
    <t>Electric 2-Wheelers</t>
  </si>
  <si>
    <t>$1B+ Pre-IPO + ₹6,145 Cr IPO</t>
  </si>
  <si>
    <t>Now operates as a large-cap listed mainstream automaker; kept Ather Energy (#3) as the representative clean-tech EV ecosystem pioneer.</t>
  </si>
  <si>
    <t>DELIVERABLE (ii): RANKING JUSTIFICATION — HOW I ARRIVED AT THE TOP 20</t>
  </si>
  <si>
    <t>The Core Ranking Challenge: What does 'largest' mean? If you rank strictly by VC money raised, the list gets completely taken over by EV fleet operators and solar parks (because buying buses and solar panels requires hundreds of millions in debt and equity). Meanwhile, profitable e-waste recyclers and solar cold-storage builders raise much less VC money because they fund growth from customer revenue. To solve this fairly, I used a 3-lens framework:</t>
  </si>
  <si>
    <t>Lens / Priority</t>
  </si>
  <si>
    <t>Metric Used</t>
  </si>
  <si>
    <t>How It Was Applied</t>
  </si>
  <si>
    <t>Why It Makes Sense (Practical Logic)</t>
  </si>
  <si>
    <t>Real Examples from Our Top 20 List</t>
  </si>
  <si>
    <t>1. Primary Sort (Baseline Order)</t>
  </si>
  <si>
    <t>Total Institutional Capital Raised ($M)</t>
  </si>
  <si>
    <t>Used to order Ranks #1 through #20 from highest funded ($603M) to lowest ($31.1M) among qualified scale leaders.</t>
  </si>
  <si>
    <t>In climate-tech, capital raised is the cleanest proxy for physical footprint—how many megawatts of solar are installed, how many swap stations are live, or how many electric buses are running on highways.</t>
  </si>
  <si>
    <t>• #1 GreenCell Mobility ($603M) -&gt; 1,200+ e-buses
• #2 Fourth Partner Energy ($531M) -&gt; 1.5+ GW solar
• All top 12 startups have raised $100M+.</t>
  </si>
  <si>
    <t>2. Commercial Scale Override</t>
  </si>
  <si>
    <t>Audited FY24/FY25 Operating Revenue &amp; Profitability</t>
  </si>
  <si>
    <t>Guaranteed top-20 qualification for capital-efficient environmental companies generating ₹500 Cr to ₹1,100+ Cr in annual revenue, even if they raised less than $90M in VC equity.</t>
  </si>
  <si>
    <t>A startup making ₹1,000 Cr ($120M) in actual revenue with net profits is commercially larger than an early-stage EV startup that raised $80M but only makes ₹30 Cr in revenue.</t>
  </si>
  <si>
    <t>• #15 Ecozen ($83.6M raised) -&gt; ₹1,159.5 Cr FY25 revenue &amp; ₹95 Cr net profit!
• #19 Recykal ($59M raised) -&gt; ₹985.1 Cr FY25 revenue.
• #20 Attero ($31.1M raised) -&gt; ₹962 Cr FY25 revenue &amp; profitable.</t>
  </si>
  <si>
    <t>3. Environmental &amp; Tech Filter</t>
  </si>
  <si>
    <t>Direct Decarbonization / Circularity + Own IP</t>
  </si>
  <si>
    <t>Acted as a strict pass/fail gate. Every company had to prove measurable environmental impact backed by proprietary tech, hardware, or chemistry.</t>
  </si>
  <si>
    <t>Prevents generic logistics companies or pure scrap-metal traders from sneaking into an environmental startup list.</t>
  </si>
  <si>
    <t>• SUN Mobility (#10) holds 475+ global IP filings.
• Attero (#20) holds 46+ global patents for extracting 98%+ pure lithium/cobalt from e-waste.</t>
  </si>
  <si>
    <t>PORTFOLIO BREAKDOWN BY SUB-SECTOR (HOW THE TOP 20 BALANCES OUT)</t>
  </si>
  <si>
    <t>Environment Vertical / Theme</t>
  </si>
  <si>
    <t>No. of Startups in Top 20</t>
  </si>
  <si>
    <t>% of Top 20 List</t>
  </si>
  <si>
    <t>Representative Companies</t>
  </si>
  <si>
    <t>Analyst Takeaway on This Segment</t>
  </si>
  <si>
    <t>Clean Mobility &amp; Green Logistics</t>
  </si>
  <si>
    <t>GreenCell, Ather, GreenLine, Euler, Yulu, BluSmart, Zypp, River</t>
  </si>
  <si>
    <t>Attracts the largest funding checks due to vehicle manufacturing and fleet capex.</t>
  </si>
  <si>
    <t>EV Charging, Swapping &amp; Battery Tech</t>
  </si>
  <si>
    <t>Battery Smart, SUN Mobility, ChargeZone, Log9, Exponent Energy</t>
  </si>
  <si>
    <t>Critical backbone solving range anxiety and high upfront battery costs for commercial EVs.</t>
  </si>
  <si>
    <t>Distributed Solar &amp; Bioenergy (CBG)</t>
  </si>
  <si>
    <t>Fourth Partner Energy, GPS Renewables, SolarSquare</t>
  </si>
  <si>
    <t>Driven by corporate net-zero power purchase agreements (PPAs) and government CBG/rooftop solar push.</t>
  </si>
  <si>
    <t>Circular Economy, E-Waste &amp; Battery Recycling</t>
  </si>
  <si>
    <t>LOHUM, Recykal, Attero Recycling</t>
  </si>
  <si>
    <t>Most capital-efficient segment; strong revenues (₹530 Cr to ₹985 Cr) driven by strict EPR rules and critical mineral recovery.</t>
  </si>
  <si>
    <t>Climate-Smart Agriculture &amp; Cold Chain</t>
  </si>
  <si>
    <t>High-margin rural climate hardware; Ecozen leads the entire cohort in net profitability (₹95 Cr profit on ₹1,159.5 Cr revenue).</t>
  </si>
  <si>
    <t>Total Mapped Portfolio</t>
  </si>
  <si>
    <t>Balanced across 5 key environmental segments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</si>
</sst>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quot;M&quot;"/>
    <numFmt numFmtId="165" formatCode="\$#,##0.0"/>
  </numFmts>
  <fonts count="10" x14ac:knownFonts="1">
    <font>
      <sz val="11"/>
      <color theme="1"/>
      <name val="Calibri"/>
      <family val="2"/>
      <scheme val="minor"/>
    </font>
    <font>
      <b/>
      <sz val="15"/>
      <color rgb="FF1F3864"/>
      <name val="Calibri"/>
    </font>
    <font>
      <b/>
      <sz val="9.5"/>
      <color rgb="FF333333"/>
      <name val="Calibri"/>
    </font>
    <font>
      <b/>
      <sz val="10.5"/>
      <color rgb="FF1F3864"/>
      <name val="Calibri"/>
    </font>
    <font>
      <b/>
      <sz val="10"/>
      <color rgb="FFFFFFFF"/>
      <name val="Calibri"/>
    </font>
    <font>
      <b/>
      <sz val="10"/>
      <color rgb="FF000000"/>
      <name val="Calibri"/>
    </font>
    <font>
      <sz val="10"/>
      <color rgb="FF000000"/>
      <name val="Calibri"/>
    </font>
    <font>
      <b/>
      <sz val="10"/>
      <color rgb="FF1F3864"/>
      <name val="Calibri"/>
    </font>
    <font>
      <sz val="9.5"/>
      <color rgb="FF333333"/>
      <name val="Calibri"/>
    </font>
    <font>
      <b/>
      <sz val="11"/>
      <color rgb="FF1F3864"/>
      <name val="Calibri"/>
    </font>
  </fonts>
  <fills count="9">
    <fill>
      <patternFill patternType="none"/>
    </fill>
    <fill>
      <patternFill patternType="gray125"/>
    </fill>
    <fill>
      <patternFill patternType="solid">
        <fgColor rgb="FFEDF2F8"/>
        <bgColor rgb="FFEDF2F8"/>
      </patternFill>
    </fill>
    <fill>
      <patternFill patternType="solid">
        <fgColor rgb="FFFFFFFF"/>
        <bgColor rgb="FFFFFFFF"/>
      </patternFill>
    </fill>
    <fill>
      <patternFill patternType="solid">
        <fgColor rgb="FF1F3864"/>
        <bgColor rgb="FF1F3864"/>
      </patternFill>
    </fill>
    <fill>
      <patternFill patternType="solid">
        <fgColor rgb="FFF9FAFC"/>
        <bgColor rgb="FFF9FAFC"/>
      </patternFill>
    </fill>
    <fill>
      <patternFill patternType="solid">
        <fgColor rgb="FFD9E1F2"/>
        <bgColor rgb="FFD9E1F2"/>
      </patternFill>
    </fill>
    <fill>
      <patternFill patternType="solid">
        <fgColor rgb="FFFFF2CC"/>
        <bgColor rgb="FFFFF2CC"/>
      </patternFill>
    </fill>
    <fill>
      <patternFill patternType="solid">
        <fgColor rgb="FF2F5597"/>
        <bgColor rgb="FF2F5597"/>
      </patternFill>
    </fill>
  </fills>
  <borders count="5">
    <border>
      <left/>
      <right/>
      <top/>
      <bottom/>
      <diagonal/>
    </border>
    <border>
      <left style="thin">
        <color rgb="FF8EA9DB"/>
      </left>
      <right style="thin">
        <color rgb="FF8EA9DB"/>
      </right>
      <top style="thin">
        <color rgb="FF8EA9DB"/>
      </top>
      <bottom style="thin">
        <color rgb="FF8EA9DB"/>
      </bottom>
      <diagonal/>
    </border>
    <border>
      <left style="thin">
        <color rgb="FFD9D9D9"/>
      </left>
      <right style="thin">
        <color rgb="FFD9D9D9"/>
      </right>
      <top style="medium">
        <color rgb="FF1F3864"/>
      </top>
      <bottom style="medium">
        <color rgb="FF1F3864"/>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double">
        <color rgb="FF1F3864"/>
      </bottom>
      <diagonal/>
    </border>
  </borders>
  <cellStyleXfs count="1">
    <xf numFmtId="0" fontId="0" fillId="0" borderId="0"/>
  </cellStyleXfs>
  <cellXfs count="35">
    <xf numFmtId="0" fontId="0" fillId="0" borderId="0" xfId="0"/>
    <xf numFmtId="0" fontId="1" fillId="0" borderId="0" xfId="0" applyFont="1"/>
    <xf numFmtId="0" fontId="2" fillId="2" borderId="1" xfId="0" applyFont="1" applyFill="1" applyBorder="1" applyAlignment="1">
      <alignment horizontal="right" vertical="center"/>
    </xf>
    <xf numFmtId="1" fontId="3" fillId="3" borderId="1" xfId="0" applyNumberFormat="1" applyFont="1" applyFill="1" applyBorder="1" applyAlignment="1">
      <alignment horizontal="center" vertical="center"/>
    </xf>
    <xf numFmtId="164" fontId="3" fillId="3" borderId="1" xfId="0" applyNumberFormat="1" applyFont="1" applyFill="1" applyBorder="1" applyAlignment="1">
      <alignment horizontal="center" vertical="center"/>
    </xf>
    <xf numFmtId="9" fontId="3" fillId="3" borderId="1" xfId="0" applyNumberFormat="1" applyFont="1" applyFill="1" applyBorder="1" applyAlignment="1">
      <alignment horizontal="center" vertical="center"/>
    </xf>
    <xf numFmtId="0" fontId="4" fillId="4" borderId="2" xfId="0" applyFont="1" applyFill="1" applyBorder="1" applyAlignment="1">
      <alignment horizontal="center" vertical="center" wrapText="1"/>
    </xf>
    <xf numFmtId="0" fontId="5" fillId="3" borderId="3" xfId="0" applyFont="1" applyFill="1" applyBorder="1" applyAlignment="1">
      <alignment horizontal="center" vertical="center"/>
    </xf>
    <xf numFmtId="0" fontId="5" fillId="3" borderId="3" xfId="0" applyFont="1" applyFill="1" applyBorder="1" applyAlignment="1">
      <alignment horizontal="left" vertical="center" wrapText="1"/>
    </xf>
    <xf numFmtId="0" fontId="6" fillId="3" borderId="3" xfId="0" applyFont="1" applyFill="1" applyBorder="1" applyAlignment="1">
      <alignment horizontal="left" vertical="center" wrapText="1"/>
    </xf>
    <xf numFmtId="0" fontId="6" fillId="3" borderId="3" xfId="0" applyFont="1" applyFill="1" applyBorder="1" applyAlignment="1">
      <alignment horizontal="center" vertical="center"/>
    </xf>
    <xf numFmtId="0" fontId="6" fillId="3" borderId="3" xfId="0" applyFont="1" applyFill="1" applyBorder="1" applyAlignment="1">
      <alignment horizontal="center" vertical="center" wrapText="1"/>
    </xf>
    <xf numFmtId="165" fontId="7" fillId="3" borderId="3" xfId="0" applyNumberFormat="1" applyFont="1" applyFill="1" applyBorder="1" applyAlignment="1">
      <alignment horizontal="right" vertical="center"/>
    </xf>
    <xf numFmtId="0" fontId="5" fillId="5" borderId="3" xfId="0" applyFont="1" applyFill="1" applyBorder="1" applyAlignment="1">
      <alignment horizontal="center" vertical="center"/>
    </xf>
    <xf numFmtId="0" fontId="5" fillId="5" borderId="3" xfId="0" applyFont="1" applyFill="1" applyBorder="1" applyAlignment="1">
      <alignment horizontal="left" vertical="center" wrapText="1"/>
    </xf>
    <xf numFmtId="0" fontId="6" fillId="5" borderId="3" xfId="0" applyFont="1" applyFill="1" applyBorder="1" applyAlignment="1">
      <alignment horizontal="left" vertical="center" wrapText="1"/>
    </xf>
    <xf numFmtId="0" fontId="6" fillId="5" borderId="3" xfId="0" applyFont="1" applyFill="1" applyBorder="1" applyAlignment="1">
      <alignment horizontal="center" vertical="center"/>
    </xf>
    <xf numFmtId="0" fontId="6" fillId="5" borderId="3" xfId="0" applyFont="1" applyFill="1" applyBorder="1" applyAlignment="1">
      <alignment horizontal="center" vertical="center" wrapText="1"/>
    </xf>
    <xf numFmtId="165" fontId="7" fillId="5" borderId="3" xfId="0" applyNumberFormat="1" applyFont="1" applyFill="1" applyBorder="1" applyAlignment="1">
      <alignment horizontal="right" vertical="center"/>
    </xf>
    <xf numFmtId="0" fontId="5" fillId="6" borderId="4" xfId="0" applyFont="1" applyFill="1" applyBorder="1"/>
    <xf numFmtId="0" fontId="5" fillId="6" borderId="4" xfId="0" applyFont="1" applyFill="1" applyBorder="1" applyAlignment="1">
      <alignment horizontal="left" vertical="center"/>
    </xf>
    <xf numFmtId="164" fontId="5" fillId="6" borderId="4" xfId="0" applyNumberFormat="1" applyFont="1" applyFill="1" applyBorder="1" applyAlignment="1">
      <alignment horizontal="right" vertical="center"/>
    </xf>
    <xf numFmtId="0" fontId="9" fillId="0" borderId="0" xfId="0" applyFont="1"/>
    <xf numFmtId="0" fontId="4" fillId="8"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5" borderId="3" xfId="0" applyFont="1" applyFill="1" applyBorder="1" applyAlignment="1">
      <alignment horizontal="center" vertical="center" wrapText="1"/>
    </xf>
    <xf numFmtId="1" fontId="7" fillId="3" borderId="3" xfId="0" applyNumberFormat="1" applyFont="1" applyFill="1" applyBorder="1" applyAlignment="1">
      <alignment horizontal="center" vertical="center"/>
    </xf>
    <xf numFmtId="9" fontId="5" fillId="3" borderId="3" xfId="0" applyNumberFormat="1" applyFont="1" applyFill="1" applyBorder="1" applyAlignment="1">
      <alignment horizontal="center" vertical="center"/>
    </xf>
    <xf numFmtId="1" fontId="7" fillId="5" borderId="3" xfId="0" applyNumberFormat="1" applyFont="1" applyFill="1" applyBorder="1" applyAlignment="1">
      <alignment horizontal="center" vertical="center"/>
    </xf>
    <xf numFmtId="9" fontId="5" fillId="5" borderId="3" xfId="0" applyNumberFormat="1" applyFont="1" applyFill="1" applyBorder="1" applyAlignment="1">
      <alignment horizontal="center" vertical="center"/>
    </xf>
    <xf numFmtId="0" fontId="5" fillId="6" borderId="4" xfId="0" applyFont="1" applyFill="1" applyBorder="1" applyAlignment="1">
      <alignment horizontal="center" vertical="center"/>
    </xf>
    <xf numFmtId="9" fontId="5" fillId="6" borderId="4" xfId="0" applyNumberFormat="1" applyFont="1" applyFill="1" applyBorder="1" applyAlignment="1">
      <alignment horizontal="center" vertical="center"/>
    </xf>
    <xf numFmtId="0" fontId="8" fillId="7" borderId="1" xfId="0" applyFont="1" applyFill="1" applyBorder="1" applyAlignment="1">
      <alignment horizontal="left" vertical="center" wrapText="1"/>
    </xf>
    <xf numFmtId="0" fontId="0" fillId="0" borderId="0" xfId="0"/>
    <xf numFmtId="0" fontId="8" fillId="2"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9"/>
  <sheetViews>
    <sheetView workbookViewId="0">
      <pane xSplit="2" ySplit="6" topLeftCell="C26" activePane="bottomRight" state="frozen"/>
      <selection pane="topRight"/>
      <selection pane="bottomLeft"/>
      <selection pane="bottomRight" activeCell="B3" sqref="B3"/>
    </sheetView>
  </sheetViews>
  <sheetFormatPr defaultRowHeight="14.4" x14ac:dyDescent="0.3"/>
  <cols>
    <col min="1" max="1" width="113.44140625" bestFit="1" customWidth="1"/>
    <col min="2" max="2" width="23" customWidth="1"/>
    <col min="3" max="3" width="27.44140625" bestFit="1" customWidth="1"/>
    <col min="4" max="4" width="19.21875" bestFit="1" customWidth="1"/>
    <col min="5" max="5" width="14" customWidth="1"/>
    <col min="6" max="6" width="28" customWidth="1"/>
    <col min="7" max="7" width="16" customWidth="1"/>
    <col min="8" max="8" width="32" customWidth="1"/>
    <col min="9" max="9" width="16" customWidth="1"/>
    <col min="10" max="10" width="32" customWidth="1"/>
    <col min="11" max="11" width="52" customWidth="1"/>
  </cols>
  <sheetData>
    <row r="1" spans="1:11" ht="24" customHeight="1" x14ac:dyDescent="0.4">
      <c r="A1" s="1" t="s">
        <v>0</v>
      </c>
    </row>
    <row r="2" spans="1:11" ht="10.050000000000001" customHeight="1" x14ac:dyDescent="0.3"/>
    <row r="3" spans="1:11" ht="22.05" customHeight="1" x14ac:dyDescent="0.3">
      <c r="B3" s="2" t="s">
        <v>1</v>
      </c>
      <c r="C3" s="3">
        <f>COUNTA(B7:B26)</f>
        <v>20</v>
      </c>
      <c r="D3" s="2" t="s">
        <v>2</v>
      </c>
      <c r="E3" s="4">
        <f>SUM(G7:G26)</f>
        <v>3751</v>
      </c>
      <c r="F3" s="2" t="s">
        <v>3</v>
      </c>
      <c r="G3" s="4">
        <f>AVERAGE(G7:G26)</f>
        <v>187.55</v>
      </c>
      <c r="H3" s="2" t="s">
        <v>4</v>
      </c>
      <c r="I3" s="5">
        <f>(COUNTIF(E7:E26,"*Bengaluru*")+COUNTIF(E7:E26,"*Gurugram*")+COUNTIF(E7:E26,"*Noida*")+COUNTIF(E7:E26,"*New Delhi*"))/COUNTA(B7:B26)</f>
        <v>0.65</v>
      </c>
    </row>
    <row r="4" spans="1:11" ht="10.050000000000001" customHeight="1" x14ac:dyDescent="0.3"/>
    <row r="5" spans="1:11" ht="7.95" customHeight="1" x14ac:dyDescent="0.3"/>
    <row r="6" spans="1:11" ht="28.05" customHeight="1" x14ac:dyDescent="0.3">
      <c r="A6" s="6" t="s">
        <v>5</v>
      </c>
      <c r="B6" s="6" t="s">
        <v>6</v>
      </c>
      <c r="C6" s="6" t="s">
        <v>7</v>
      </c>
      <c r="D6" s="6" t="s">
        <v>8</v>
      </c>
      <c r="E6" s="6" t="s">
        <v>9</v>
      </c>
      <c r="F6" s="6" t="s">
        <v>10</v>
      </c>
      <c r="G6" s="6" t="s">
        <v>11</v>
      </c>
      <c r="H6" s="6" t="s">
        <v>12</v>
      </c>
      <c r="I6" s="6" t="s">
        <v>13</v>
      </c>
      <c r="J6" s="6" t="s">
        <v>14</v>
      </c>
      <c r="K6" s="6" t="s">
        <v>15</v>
      </c>
    </row>
    <row r="7" spans="1:11" ht="37.950000000000003" customHeight="1" x14ac:dyDescent="0.3">
      <c r="A7" s="7">
        <v>1</v>
      </c>
      <c r="B7" s="8" t="s">
        <v>16</v>
      </c>
      <c r="C7" s="9" t="s">
        <v>17</v>
      </c>
      <c r="D7" s="10">
        <v>2019</v>
      </c>
      <c r="E7" s="11" t="s">
        <v>18</v>
      </c>
      <c r="F7" s="9" t="s">
        <v>19</v>
      </c>
      <c r="G7" s="12">
        <v>603</v>
      </c>
      <c r="H7" s="9" t="s">
        <v>20</v>
      </c>
      <c r="I7" s="11" t="s">
        <v>21</v>
      </c>
      <c r="J7" s="9" t="s">
        <v>22</v>
      </c>
      <c r="K7" s="9" t="s">
        <v>23</v>
      </c>
    </row>
    <row r="8" spans="1:11" ht="37.950000000000003" customHeight="1" x14ac:dyDescent="0.3">
      <c r="A8" s="13">
        <v>2</v>
      </c>
      <c r="B8" s="14" t="s">
        <v>24</v>
      </c>
      <c r="C8" s="15" t="s">
        <v>25</v>
      </c>
      <c r="D8" s="16">
        <v>2010</v>
      </c>
      <c r="E8" s="17" t="s">
        <v>26</v>
      </c>
      <c r="F8" s="15" t="s">
        <v>27</v>
      </c>
      <c r="G8" s="18">
        <v>531</v>
      </c>
      <c r="H8" s="15" t="s">
        <v>28</v>
      </c>
      <c r="I8" s="17" t="s">
        <v>29</v>
      </c>
      <c r="J8" s="15" t="s">
        <v>30</v>
      </c>
      <c r="K8" s="15" t="s">
        <v>31</v>
      </c>
    </row>
    <row r="9" spans="1:11" ht="37.950000000000003" customHeight="1" x14ac:dyDescent="0.3">
      <c r="A9" s="7">
        <v>3</v>
      </c>
      <c r="B9" s="8" t="s">
        <v>32</v>
      </c>
      <c r="C9" s="9" t="s">
        <v>33</v>
      </c>
      <c r="D9" s="10">
        <v>2013</v>
      </c>
      <c r="E9" s="11" t="s">
        <v>34</v>
      </c>
      <c r="F9" s="9" t="s">
        <v>35</v>
      </c>
      <c r="G9" s="12">
        <v>445</v>
      </c>
      <c r="H9" s="9" t="s">
        <v>36</v>
      </c>
      <c r="I9" s="11" t="s">
        <v>37</v>
      </c>
      <c r="J9" s="9" t="s">
        <v>38</v>
      </c>
      <c r="K9" s="9" t="s">
        <v>39</v>
      </c>
    </row>
    <row r="10" spans="1:11" ht="37.950000000000003" customHeight="1" x14ac:dyDescent="0.3">
      <c r="A10" s="13">
        <v>4</v>
      </c>
      <c r="B10" s="14" t="s">
        <v>40</v>
      </c>
      <c r="C10" s="15" t="s">
        <v>41</v>
      </c>
      <c r="D10" s="16">
        <v>2021</v>
      </c>
      <c r="E10" s="17" t="s">
        <v>18</v>
      </c>
      <c r="F10" s="15" t="s">
        <v>42</v>
      </c>
      <c r="G10" s="18">
        <v>293</v>
      </c>
      <c r="H10" s="15" t="s">
        <v>43</v>
      </c>
      <c r="I10" s="17" t="s">
        <v>44</v>
      </c>
      <c r="J10" s="15" t="s">
        <v>45</v>
      </c>
      <c r="K10" s="15" t="s">
        <v>46</v>
      </c>
    </row>
    <row r="11" spans="1:11" ht="37.950000000000003" customHeight="1" x14ac:dyDescent="0.3">
      <c r="A11" s="7">
        <v>5</v>
      </c>
      <c r="B11" s="8" t="s">
        <v>47</v>
      </c>
      <c r="C11" s="9" t="s">
        <v>48</v>
      </c>
      <c r="D11" s="10">
        <v>2019</v>
      </c>
      <c r="E11" s="11" t="s">
        <v>49</v>
      </c>
      <c r="F11" s="9" t="s">
        <v>50</v>
      </c>
      <c r="G11" s="12">
        <v>228</v>
      </c>
      <c r="H11" s="9" t="s">
        <v>51</v>
      </c>
      <c r="I11" s="11" t="s">
        <v>52</v>
      </c>
      <c r="J11" s="9" t="s">
        <v>53</v>
      </c>
      <c r="K11" s="9" t="s">
        <v>54</v>
      </c>
    </row>
    <row r="12" spans="1:11" ht="37.950000000000003" customHeight="1" x14ac:dyDescent="0.3">
      <c r="A12" s="13">
        <v>6</v>
      </c>
      <c r="B12" s="14" t="s">
        <v>55</v>
      </c>
      <c r="C12" s="15" t="s">
        <v>56</v>
      </c>
      <c r="D12" s="16">
        <v>2018</v>
      </c>
      <c r="E12" s="17" t="s">
        <v>57</v>
      </c>
      <c r="F12" s="15" t="s">
        <v>58</v>
      </c>
      <c r="G12" s="18">
        <v>206</v>
      </c>
      <c r="H12" s="15" t="s">
        <v>59</v>
      </c>
      <c r="I12" s="17" t="s">
        <v>29</v>
      </c>
      <c r="J12" s="15" t="s">
        <v>60</v>
      </c>
      <c r="K12" s="15" t="s">
        <v>61</v>
      </c>
    </row>
    <row r="13" spans="1:11" ht="37.950000000000003" customHeight="1" x14ac:dyDescent="0.3">
      <c r="A13" s="7">
        <v>7</v>
      </c>
      <c r="B13" s="8" t="s">
        <v>62</v>
      </c>
      <c r="C13" s="9" t="s">
        <v>63</v>
      </c>
      <c r="D13" s="10">
        <v>2017</v>
      </c>
      <c r="E13" s="11" t="s">
        <v>34</v>
      </c>
      <c r="F13" s="9" t="s">
        <v>64</v>
      </c>
      <c r="G13" s="12">
        <v>198</v>
      </c>
      <c r="H13" s="9" t="s">
        <v>65</v>
      </c>
      <c r="I13" s="11" t="s">
        <v>52</v>
      </c>
      <c r="J13" s="9" t="s">
        <v>66</v>
      </c>
      <c r="K13" s="9" t="s">
        <v>67</v>
      </c>
    </row>
    <row r="14" spans="1:11" ht="37.950000000000003" customHeight="1" x14ac:dyDescent="0.3">
      <c r="A14" s="13">
        <v>8</v>
      </c>
      <c r="B14" s="14" t="s">
        <v>68</v>
      </c>
      <c r="C14" s="15" t="s">
        <v>69</v>
      </c>
      <c r="D14" s="16">
        <v>2012</v>
      </c>
      <c r="E14" s="17" t="s">
        <v>34</v>
      </c>
      <c r="F14" s="15" t="s">
        <v>70</v>
      </c>
      <c r="G14" s="18">
        <v>165</v>
      </c>
      <c r="H14" s="15" t="s">
        <v>71</v>
      </c>
      <c r="I14" s="17" t="s">
        <v>52</v>
      </c>
      <c r="J14" s="15" t="s">
        <v>72</v>
      </c>
      <c r="K14" s="15" t="s">
        <v>73</v>
      </c>
    </row>
    <row r="15" spans="1:11" ht="37.950000000000003" customHeight="1" x14ac:dyDescent="0.3">
      <c r="A15" s="7">
        <v>9</v>
      </c>
      <c r="B15" s="8" t="s">
        <v>74</v>
      </c>
      <c r="C15" s="9" t="s">
        <v>75</v>
      </c>
      <c r="D15" s="10">
        <v>2019</v>
      </c>
      <c r="E15" s="11" t="s">
        <v>49</v>
      </c>
      <c r="F15" s="9" t="s">
        <v>76</v>
      </c>
      <c r="G15" s="12">
        <v>142</v>
      </c>
      <c r="H15" s="9" t="s">
        <v>77</v>
      </c>
      <c r="I15" s="11" t="s">
        <v>78</v>
      </c>
      <c r="J15" s="9" t="s">
        <v>79</v>
      </c>
      <c r="K15" s="9" t="s">
        <v>80</v>
      </c>
    </row>
    <row r="16" spans="1:11" ht="37.950000000000003" customHeight="1" x14ac:dyDescent="0.3">
      <c r="A16" s="13">
        <v>10</v>
      </c>
      <c r="B16" s="14" t="s">
        <v>81</v>
      </c>
      <c r="C16" s="15" t="s">
        <v>82</v>
      </c>
      <c r="D16" s="16">
        <v>2017</v>
      </c>
      <c r="E16" s="17" t="s">
        <v>34</v>
      </c>
      <c r="F16" s="15" t="s">
        <v>83</v>
      </c>
      <c r="G16" s="18">
        <v>135</v>
      </c>
      <c r="H16" s="15" t="s">
        <v>84</v>
      </c>
      <c r="I16" s="17" t="s">
        <v>78</v>
      </c>
      <c r="J16" s="15" t="s">
        <v>85</v>
      </c>
      <c r="K16" s="15" t="s">
        <v>86</v>
      </c>
    </row>
    <row r="17" spans="1:11" ht="37.950000000000003" customHeight="1" x14ac:dyDescent="0.3">
      <c r="A17" s="7">
        <v>11</v>
      </c>
      <c r="B17" s="8" t="s">
        <v>87</v>
      </c>
      <c r="C17" s="9" t="s">
        <v>88</v>
      </c>
      <c r="D17" s="10">
        <v>2015</v>
      </c>
      <c r="E17" s="11" t="s">
        <v>18</v>
      </c>
      <c r="F17" s="9" t="s">
        <v>89</v>
      </c>
      <c r="G17" s="12">
        <v>114</v>
      </c>
      <c r="H17" s="9" t="s">
        <v>90</v>
      </c>
      <c r="I17" s="11" t="s">
        <v>52</v>
      </c>
      <c r="J17" s="9" t="s">
        <v>91</v>
      </c>
      <c r="K17" s="9" t="s">
        <v>92</v>
      </c>
    </row>
    <row r="18" spans="1:11" ht="37.950000000000003" customHeight="1" x14ac:dyDescent="0.3">
      <c r="A18" s="13">
        <v>12</v>
      </c>
      <c r="B18" s="14" t="s">
        <v>93</v>
      </c>
      <c r="C18" s="15" t="s">
        <v>94</v>
      </c>
      <c r="D18" s="16">
        <v>2017</v>
      </c>
      <c r="E18" s="17" t="s">
        <v>95</v>
      </c>
      <c r="F18" s="15" t="s">
        <v>96</v>
      </c>
      <c r="G18" s="18">
        <v>108</v>
      </c>
      <c r="H18" s="15" t="s">
        <v>97</v>
      </c>
      <c r="I18" s="17" t="s">
        <v>98</v>
      </c>
      <c r="J18" s="15" t="s">
        <v>99</v>
      </c>
      <c r="K18" s="15" t="s">
        <v>100</v>
      </c>
    </row>
    <row r="19" spans="1:11" ht="37.950000000000003" customHeight="1" x14ac:dyDescent="0.3">
      <c r="A19" s="7">
        <v>13</v>
      </c>
      <c r="B19" s="8" t="s">
        <v>101</v>
      </c>
      <c r="C19" s="9" t="s">
        <v>102</v>
      </c>
      <c r="D19" s="10">
        <v>2018</v>
      </c>
      <c r="E19" s="11" t="s">
        <v>103</v>
      </c>
      <c r="F19" s="9" t="s">
        <v>104</v>
      </c>
      <c r="G19" s="12">
        <v>97.5</v>
      </c>
      <c r="H19" s="9" t="s">
        <v>105</v>
      </c>
      <c r="I19" s="11" t="s">
        <v>106</v>
      </c>
      <c r="J19" s="9" t="s">
        <v>107</v>
      </c>
      <c r="K19" s="9" t="s">
        <v>108</v>
      </c>
    </row>
    <row r="20" spans="1:11" ht="37.950000000000003" customHeight="1" x14ac:dyDescent="0.3">
      <c r="A20" s="13">
        <v>14</v>
      </c>
      <c r="B20" s="14" t="s">
        <v>109</v>
      </c>
      <c r="C20" s="15" t="s">
        <v>110</v>
      </c>
      <c r="D20" s="16">
        <v>2015</v>
      </c>
      <c r="E20" s="17" t="s">
        <v>34</v>
      </c>
      <c r="F20" s="15" t="s">
        <v>111</v>
      </c>
      <c r="G20" s="18">
        <v>90.3</v>
      </c>
      <c r="H20" s="15" t="s">
        <v>112</v>
      </c>
      <c r="I20" s="17" t="s">
        <v>78</v>
      </c>
      <c r="J20" s="15" t="s">
        <v>113</v>
      </c>
      <c r="K20" s="15" t="s">
        <v>114</v>
      </c>
    </row>
    <row r="21" spans="1:11" ht="37.950000000000003" customHeight="1" x14ac:dyDescent="0.3">
      <c r="A21" s="7">
        <v>15</v>
      </c>
      <c r="B21" s="8" t="s">
        <v>115</v>
      </c>
      <c r="C21" s="9" t="s">
        <v>116</v>
      </c>
      <c r="D21" s="10">
        <v>2010</v>
      </c>
      <c r="E21" s="11" t="s">
        <v>117</v>
      </c>
      <c r="F21" s="9" t="s">
        <v>118</v>
      </c>
      <c r="G21" s="12">
        <v>83.6</v>
      </c>
      <c r="H21" s="9" t="s">
        <v>119</v>
      </c>
      <c r="I21" s="11" t="s">
        <v>120</v>
      </c>
      <c r="J21" s="9" t="s">
        <v>121</v>
      </c>
      <c r="K21" s="9" t="s">
        <v>122</v>
      </c>
    </row>
    <row r="22" spans="1:11" ht="37.950000000000003" customHeight="1" x14ac:dyDescent="0.3">
      <c r="A22" s="13">
        <v>16</v>
      </c>
      <c r="B22" s="14" t="s">
        <v>123</v>
      </c>
      <c r="C22" s="15" t="s">
        <v>124</v>
      </c>
      <c r="D22" s="16">
        <v>2020</v>
      </c>
      <c r="E22" s="17" t="s">
        <v>34</v>
      </c>
      <c r="F22" s="15" t="s">
        <v>125</v>
      </c>
      <c r="G22" s="18">
        <v>77</v>
      </c>
      <c r="H22" s="15" t="s">
        <v>126</v>
      </c>
      <c r="I22" s="17" t="s">
        <v>78</v>
      </c>
      <c r="J22" s="15" t="s">
        <v>127</v>
      </c>
      <c r="K22" s="15" t="s">
        <v>128</v>
      </c>
    </row>
    <row r="23" spans="1:11" ht="37.950000000000003" customHeight="1" x14ac:dyDescent="0.3">
      <c r="A23" s="7">
        <v>17</v>
      </c>
      <c r="B23" s="8" t="s">
        <v>129</v>
      </c>
      <c r="C23" s="9" t="s">
        <v>130</v>
      </c>
      <c r="D23" s="10">
        <v>2017</v>
      </c>
      <c r="E23" s="11" t="s">
        <v>49</v>
      </c>
      <c r="F23" s="9" t="s">
        <v>131</v>
      </c>
      <c r="G23" s="12">
        <v>76.5</v>
      </c>
      <c r="H23" s="9" t="s">
        <v>132</v>
      </c>
      <c r="I23" s="11" t="s">
        <v>52</v>
      </c>
      <c r="J23" s="9" t="s">
        <v>133</v>
      </c>
      <c r="K23" s="9" t="s">
        <v>134</v>
      </c>
    </row>
    <row r="24" spans="1:11" ht="37.950000000000003" customHeight="1" x14ac:dyDescent="0.3">
      <c r="A24" s="13">
        <v>18</v>
      </c>
      <c r="B24" s="14" t="s">
        <v>135</v>
      </c>
      <c r="C24" s="15" t="s">
        <v>136</v>
      </c>
      <c r="D24" s="16">
        <v>2020</v>
      </c>
      <c r="E24" s="17" t="s">
        <v>34</v>
      </c>
      <c r="F24" s="15" t="s">
        <v>137</v>
      </c>
      <c r="G24" s="18">
        <v>68</v>
      </c>
      <c r="H24" s="15" t="s">
        <v>138</v>
      </c>
      <c r="I24" s="17" t="s">
        <v>78</v>
      </c>
      <c r="J24" s="15" t="s">
        <v>139</v>
      </c>
      <c r="K24" s="15" t="s">
        <v>140</v>
      </c>
    </row>
    <row r="25" spans="1:11" ht="37.950000000000003" customHeight="1" x14ac:dyDescent="0.3">
      <c r="A25" s="7">
        <v>19</v>
      </c>
      <c r="B25" s="8" t="s">
        <v>141</v>
      </c>
      <c r="C25" s="9" t="s">
        <v>142</v>
      </c>
      <c r="D25" s="10">
        <v>2015</v>
      </c>
      <c r="E25" s="11" t="s">
        <v>26</v>
      </c>
      <c r="F25" s="9" t="s">
        <v>143</v>
      </c>
      <c r="G25" s="12">
        <v>59</v>
      </c>
      <c r="H25" s="9" t="s">
        <v>144</v>
      </c>
      <c r="I25" s="11" t="s">
        <v>29</v>
      </c>
      <c r="J25" s="9" t="s">
        <v>145</v>
      </c>
      <c r="K25" s="9" t="s">
        <v>146</v>
      </c>
    </row>
    <row r="26" spans="1:11" ht="37.950000000000003" customHeight="1" x14ac:dyDescent="0.3">
      <c r="A26" s="13">
        <v>20</v>
      </c>
      <c r="B26" s="14" t="s">
        <v>147</v>
      </c>
      <c r="C26" s="15" t="s">
        <v>148</v>
      </c>
      <c r="D26" s="16">
        <v>2008</v>
      </c>
      <c r="E26" s="17" t="s">
        <v>95</v>
      </c>
      <c r="F26" s="15" t="s">
        <v>149</v>
      </c>
      <c r="G26" s="18">
        <v>31.1</v>
      </c>
      <c r="H26" s="15" t="s">
        <v>150</v>
      </c>
      <c r="I26" s="17" t="s">
        <v>120</v>
      </c>
      <c r="J26" s="15" t="s">
        <v>151</v>
      </c>
      <c r="K26" s="15" t="s">
        <v>152</v>
      </c>
    </row>
    <row r="27" spans="1:11" ht="24" customHeight="1" x14ac:dyDescent="0.3">
      <c r="A27" s="19"/>
      <c r="B27" s="20" t="s">
        <v>153</v>
      </c>
      <c r="C27" s="19"/>
      <c r="D27" s="19"/>
      <c r="E27" s="19"/>
      <c r="F27" s="19"/>
      <c r="G27" s="21">
        <f>SUM(G7:G26)</f>
        <v>3751</v>
      </c>
      <c r="H27" s="20" t="s">
        <v>154</v>
      </c>
      <c r="I27" s="19"/>
      <c r="J27" s="19"/>
      <c r="K27" s="19"/>
    </row>
    <row r="28" spans="1:11" ht="7.95" customHeight="1" x14ac:dyDescent="0.3"/>
    <row r="29" spans="1:11" ht="28.05" customHeight="1" x14ac:dyDescent="0.3">
      <c r="A29" s="32" t="s">
        <v>155</v>
      </c>
      <c r="B29" s="33"/>
      <c r="C29" s="33"/>
      <c r="D29" s="33"/>
      <c r="E29" s="33"/>
      <c r="F29" s="33"/>
      <c r="G29" s="33"/>
      <c r="H29" s="33"/>
      <c r="I29" s="33"/>
      <c r="J29" s="33"/>
      <c r="K29" s="33"/>
    </row>
  </sheetData>
  <autoFilter ref="A6:K26" xr:uid="{00000000-0009-0000-0000-000000000000}"/>
  <mergeCells count="1">
    <mergeCell ref="A29:K2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6"/>
  <sheetViews>
    <sheetView workbookViewId="0">
      <selection activeCell="A14" sqref="A14"/>
    </sheetView>
  </sheetViews>
  <sheetFormatPr defaultRowHeight="14.4" x14ac:dyDescent="0.3"/>
  <cols>
    <col min="1" max="1" width="83.33203125" bestFit="1" customWidth="1"/>
    <col min="2" max="2" width="28" customWidth="1"/>
    <col min="3" max="3" width="48" customWidth="1"/>
    <col min="4" max="4" width="42" customWidth="1"/>
    <col min="5" max="5" width="36" customWidth="1"/>
  </cols>
  <sheetData>
    <row r="1" spans="1:5" ht="24" customHeight="1" x14ac:dyDescent="0.4">
      <c r="A1" s="1" t="s">
        <v>156</v>
      </c>
    </row>
    <row r="2" spans="1:5" ht="10.050000000000001" customHeight="1" x14ac:dyDescent="0.3"/>
    <row r="3" spans="1:5" ht="36" customHeight="1" x14ac:dyDescent="0.3">
      <c r="A3" s="34" t="s">
        <v>157</v>
      </c>
      <c r="B3" s="33"/>
      <c r="C3" s="33"/>
      <c r="D3" s="33"/>
      <c r="E3" s="33"/>
    </row>
    <row r="4" spans="1:5" ht="10.050000000000001" customHeight="1" x14ac:dyDescent="0.3"/>
    <row r="5" spans="1:5" ht="25.95" customHeight="1" x14ac:dyDescent="0.3">
      <c r="A5" s="6" t="s">
        <v>158</v>
      </c>
      <c r="B5" s="6" t="s">
        <v>159</v>
      </c>
      <c r="C5" s="6" t="s">
        <v>160</v>
      </c>
      <c r="D5" s="6" t="s">
        <v>161</v>
      </c>
      <c r="E5" s="6" t="s">
        <v>162</v>
      </c>
    </row>
    <row r="6" spans="1:5" ht="82.05" customHeight="1" x14ac:dyDescent="0.3">
      <c r="A6" s="7" t="s">
        <v>163</v>
      </c>
      <c r="B6" s="8" t="s">
        <v>164</v>
      </c>
      <c r="C6" s="9" t="s">
        <v>165</v>
      </c>
      <c r="D6" s="9" t="s">
        <v>166</v>
      </c>
      <c r="E6" s="9" t="s">
        <v>167</v>
      </c>
    </row>
    <row r="7" spans="1:5" ht="72" customHeight="1" x14ac:dyDescent="0.3">
      <c r="A7" s="13" t="s">
        <v>168</v>
      </c>
      <c r="B7" s="14" t="s">
        <v>169</v>
      </c>
      <c r="C7" s="15" t="s">
        <v>170</v>
      </c>
      <c r="D7" s="15" t="s">
        <v>171</v>
      </c>
      <c r="E7" s="15" t="s">
        <v>172</v>
      </c>
    </row>
    <row r="8" spans="1:5" ht="72" customHeight="1" x14ac:dyDescent="0.3">
      <c r="A8" s="7" t="s">
        <v>173</v>
      </c>
      <c r="B8" s="8" t="s">
        <v>174</v>
      </c>
      <c r="C8" s="9" t="s">
        <v>175</v>
      </c>
      <c r="D8" s="9" t="s">
        <v>176</v>
      </c>
      <c r="E8" s="9" t="s">
        <v>177</v>
      </c>
    </row>
    <row r="9" spans="1:5" ht="72" customHeight="1" x14ac:dyDescent="0.3">
      <c r="A9" s="13" t="s">
        <v>178</v>
      </c>
      <c r="B9" s="14" t="s">
        <v>179</v>
      </c>
      <c r="C9" s="15" t="s">
        <v>180</v>
      </c>
      <c r="D9" s="15" t="s">
        <v>181</v>
      </c>
      <c r="E9" s="15" t="s">
        <v>182</v>
      </c>
    </row>
    <row r="10" spans="1:5" ht="13.95" customHeight="1" x14ac:dyDescent="0.3"/>
    <row r="11" spans="1:5" ht="19.95" customHeight="1" x14ac:dyDescent="0.3">
      <c r="A11" s="22" t="s">
        <v>183</v>
      </c>
    </row>
    <row r="12" spans="1:5" ht="24" customHeight="1" x14ac:dyDescent="0.3">
      <c r="A12" s="23" t="s">
        <v>184</v>
      </c>
      <c r="B12" s="23" t="s">
        <v>185</v>
      </c>
      <c r="C12" s="23" t="s">
        <v>186</v>
      </c>
      <c r="D12" s="23" t="s">
        <v>187</v>
      </c>
      <c r="E12" s="23" t="s">
        <v>188</v>
      </c>
    </row>
    <row r="13" spans="1:5" ht="36" customHeight="1" x14ac:dyDescent="0.3">
      <c r="A13" s="8" t="s">
        <v>189</v>
      </c>
      <c r="B13" s="9" t="s">
        <v>190</v>
      </c>
      <c r="C13" s="9" t="s">
        <v>191</v>
      </c>
      <c r="D13" s="9" t="s">
        <v>192</v>
      </c>
      <c r="E13" s="11" t="s">
        <v>193</v>
      </c>
    </row>
    <row r="14" spans="1:5" ht="36" customHeight="1" x14ac:dyDescent="0.3">
      <c r="A14" s="14" t="s">
        <v>194</v>
      </c>
      <c r="B14" s="15" t="s">
        <v>195</v>
      </c>
      <c r="C14" s="15" t="s">
        <v>196</v>
      </c>
      <c r="D14" s="15" t="s">
        <v>197</v>
      </c>
      <c r="E14" s="17" t="s">
        <v>193</v>
      </c>
    </row>
    <row r="15" spans="1:5" ht="36" customHeight="1" x14ac:dyDescent="0.3">
      <c r="A15" s="8" t="s">
        <v>198</v>
      </c>
      <c r="B15" s="9" t="s">
        <v>199</v>
      </c>
      <c r="C15" s="9" t="s">
        <v>200</v>
      </c>
      <c r="D15" s="9" t="s">
        <v>201</v>
      </c>
      <c r="E15" s="11" t="s">
        <v>193</v>
      </c>
    </row>
    <row r="16" spans="1:5" ht="36" customHeight="1" x14ac:dyDescent="0.3">
      <c r="A16" s="14" t="s">
        <v>202</v>
      </c>
      <c r="B16" s="15" t="s">
        <v>203</v>
      </c>
      <c r="C16" s="15" t="s">
        <v>204</v>
      </c>
      <c r="D16" s="15" t="s">
        <v>205</v>
      </c>
      <c r="E16" s="17" t="s">
        <v>193</v>
      </c>
    </row>
  </sheetData>
  <mergeCells count="1">
    <mergeCell ref="A3:E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7"/>
  <sheetViews>
    <sheetView tabSelected="1" workbookViewId="0">
      <selection activeCell="A7" sqref="A7"/>
    </sheetView>
  </sheetViews>
  <sheetFormatPr defaultRowHeight="14.4" x14ac:dyDescent="0.3"/>
  <cols>
    <col min="1" max="1" width="26" customWidth="1"/>
    <col min="2" max="2" width="28" customWidth="1"/>
    <col min="3" max="3" width="36" customWidth="1"/>
    <col min="4" max="5" width="44" customWidth="1"/>
  </cols>
  <sheetData>
    <row r="1" spans="1:5" ht="24" customHeight="1" x14ac:dyDescent="0.4">
      <c r="A1" s="1" t="s">
        <v>206</v>
      </c>
    </row>
    <row r="2" spans="1:5" ht="10.050000000000001" customHeight="1" x14ac:dyDescent="0.3"/>
    <row r="3" spans="1:5" ht="37.950000000000003" customHeight="1" x14ac:dyDescent="0.3">
      <c r="A3" s="34" t="s">
        <v>207</v>
      </c>
      <c r="B3" s="33"/>
      <c r="C3" s="33"/>
      <c r="D3" s="33"/>
      <c r="E3" s="33"/>
    </row>
    <row r="4" spans="1:5" ht="10.050000000000001" customHeight="1" x14ac:dyDescent="0.3"/>
    <row r="5" spans="1:5" ht="25.95" customHeight="1" x14ac:dyDescent="0.3">
      <c r="A5" s="6" t="s">
        <v>208</v>
      </c>
      <c r="B5" s="6" t="s">
        <v>209</v>
      </c>
      <c r="C5" s="6" t="s">
        <v>210</v>
      </c>
      <c r="D5" s="6" t="s">
        <v>211</v>
      </c>
      <c r="E5" s="6" t="s">
        <v>212</v>
      </c>
    </row>
    <row r="6" spans="1:5" ht="67.95" customHeight="1" x14ac:dyDescent="0.3">
      <c r="A6" s="24" t="s">
        <v>213</v>
      </c>
      <c r="B6" s="8" t="s">
        <v>214</v>
      </c>
      <c r="C6" s="9" t="s">
        <v>215</v>
      </c>
      <c r="D6" s="9" t="s">
        <v>216</v>
      </c>
      <c r="E6" s="9" t="s">
        <v>217</v>
      </c>
    </row>
    <row r="7" spans="1:5" ht="67.95" customHeight="1" x14ac:dyDescent="0.3">
      <c r="A7" s="25" t="s">
        <v>218</v>
      </c>
      <c r="B7" s="14" t="s">
        <v>219</v>
      </c>
      <c r="C7" s="15" t="s">
        <v>220</v>
      </c>
      <c r="D7" s="15" t="s">
        <v>221</v>
      </c>
      <c r="E7" s="15" t="s">
        <v>222</v>
      </c>
    </row>
    <row r="8" spans="1:5" ht="67.95" customHeight="1" x14ac:dyDescent="0.3">
      <c r="A8" s="24" t="s">
        <v>223</v>
      </c>
      <c r="B8" s="8" t="s">
        <v>224</v>
      </c>
      <c r="C8" s="9" t="s">
        <v>225</v>
      </c>
      <c r="D8" s="9" t="s">
        <v>226</v>
      </c>
      <c r="E8" s="9" t="s">
        <v>227</v>
      </c>
    </row>
    <row r="9" spans="1:5" ht="13.95" customHeight="1" x14ac:dyDescent="0.3"/>
    <row r="10" spans="1:5" ht="19.95" customHeight="1" x14ac:dyDescent="0.3">
      <c r="A10" s="22" t="s">
        <v>228</v>
      </c>
    </row>
    <row r="11" spans="1:5" ht="24" customHeight="1" x14ac:dyDescent="0.3">
      <c r="A11" s="23" t="s">
        <v>229</v>
      </c>
      <c r="B11" s="23" t="s">
        <v>230</v>
      </c>
      <c r="C11" s="23" t="s">
        <v>231</v>
      </c>
      <c r="D11" s="23" t="s">
        <v>232</v>
      </c>
      <c r="E11" s="23" t="s">
        <v>233</v>
      </c>
    </row>
    <row r="12" spans="1:5" ht="34.049999999999997" customHeight="1" x14ac:dyDescent="0.3">
      <c r="A12" s="8" t="s">
        <v>234</v>
      </c>
      <c r="B12" s="26">
        <v>8</v>
      </c>
      <c r="C12" s="27">
        <f>B12/$B$17</f>
        <v>0.4</v>
      </c>
      <c r="D12" s="9" t="s">
        <v>235</v>
      </c>
      <c r="E12" s="9" t="s">
        <v>236</v>
      </c>
    </row>
    <row r="13" spans="1:5" ht="34.049999999999997" customHeight="1" x14ac:dyDescent="0.3">
      <c r="A13" s="14" t="s">
        <v>237</v>
      </c>
      <c r="B13" s="28">
        <v>5</v>
      </c>
      <c r="C13" s="29">
        <f>B13/$B$17</f>
        <v>0.25</v>
      </c>
      <c r="D13" s="15" t="s">
        <v>238</v>
      </c>
      <c r="E13" s="15" t="s">
        <v>239</v>
      </c>
    </row>
    <row r="14" spans="1:5" ht="34.049999999999997" customHeight="1" x14ac:dyDescent="0.3">
      <c r="A14" s="8" t="s">
        <v>240</v>
      </c>
      <c r="B14" s="26">
        <v>3</v>
      </c>
      <c r="C14" s="27">
        <f>B14/$B$17</f>
        <v>0.15</v>
      </c>
      <c r="D14" s="9" t="s">
        <v>241</v>
      </c>
      <c r="E14" s="9" t="s">
        <v>242</v>
      </c>
    </row>
    <row r="15" spans="1:5" ht="34.049999999999997" customHeight="1" x14ac:dyDescent="0.3">
      <c r="A15" s="14" t="s">
        <v>243</v>
      </c>
      <c r="B15" s="28">
        <v>3</v>
      </c>
      <c r="C15" s="29">
        <f>B15/$B$17</f>
        <v>0.15</v>
      </c>
      <c r="D15" s="15" t="s">
        <v>244</v>
      </c>
      <c r="E15" s="15" t="s">
        <v>245</v>
      </c>
    </row>
    <row r="16" spans="1:5" ht="34.049999999999997" customHeight="1" x14ac:dyDescent="0.3">
      <c r="A16" s="8" t="s">
        <v>246</v>
      </c>
      <c r="B16" s="26">
        <v>1</v>
      </c>
      <c r="C16" s="27">
        <f>B16/$B$17</f>
        <v>0.05</v>
      </c>
      <c r="D16" s="9" t="s">
        <v>115</v>
      </c>
      <c r="E16" s="9" t="s">
        <v>247</v>
      </c>
    </row>
    <row r="17" spans="1:5" ht="24" customHeight="1" x14ac:dyDescent="0.3">
      <c r="A17" s="20" t="s">
        <v>248</v>
      </c>
      <c r="B17" s="30">
        <f>SUM(B12:B16)</f>
        <v>20</v>
      </c>
      <c r="C17" s="31">
        <f>SUM(C12:C16)</f>
        <v>1</v>
      </c>
      <c r="D17" s="20" t="s">
        <v>249</v>
      </c>
      <c r="E17" s="19"/>
    </row>
  </sheetData>
  <mergeCells count="1">
    <mergeCell ref="A3:E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Top 20 Startups</vt:lpstr>
      <vt:lpstr>2. Search Methodology</vt:lpstr>
      <vt:lpstr>3. Ranking Logic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MOHD FAUZAN</cp:lastModifiedBy>
  <dcterms:created xsi:type="dcterms:W3CDTF">2026-10-18T21:16:47Z</dcterms:created>
  <dcterms:modified xsi:type="dcterms:W3CDTF">2026-10-18T21:18:52Z</dcterms:modified>
</cp:coreProperties>
</file>