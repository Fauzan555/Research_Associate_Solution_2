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44c0c6347725b90/Desktop/IIM/que2/"/>
    </mc:Choice>
  </mc:AlternateContent>
  <xr:revisionPtr revIDLastSave="5" documentId="11_E04DC8E2088B35D833BCFE8BD4C66774BFFBE284" xr6:coauthVersionLast="47" xr6:coauthVersionMax="47" xr10:uidLastSave="{B37462B7-4285-4299-8C0A-8528BB4C7F41}"/>
  <bookViews>
    <workbookView xWindow="-108" yWindow="-108" windowWidth="23256" windowHeight="12456" activeTab="1" xr2:uid="{00000000-000D-0000-FFFF-FFFF00000000}"/>
  </bookViews>
  <sheets>
    <sheet name="i_Raw_WIPO_Data" sheetId="1" r:id="rId1"/>
    <sheet name="ii_Merged_Startup_WIPO_Data" sheetId="2" r:id="rId2"/>
    <sheet name="iii_Matching_Process_Desc" sheetId="3" r:id="rId3"/>
  </sheets>
  <definedNames>
    <definedName name="_xlnm._FilterDatabase" localSheetId="0" hidden="1">i_Raw_WIPO_Data!$A$3:$O$41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 i="2" l="1"/>
  <c r="J25" i="2"/>
  <c r="I25" i="2"/>
  <c r="B25" i="2"/>
  <c r="N24" i="2"/>
  <c r="M24" i="2"/>
  <c r="L24" i="2"/>
  <c r="P24" i="2" s="1"/>
  <c r="N23" i="2"/>
  <c r="M23" i="2"/>
  <c r="L23" i="2"/>
  <c r="P23" i="2" s="1"/>
  <c r="N22" i="2"/>
  <c r="M22" i="2"/>
  <c r="L22" i="2"/>
  <c r="P22" i="2" s="1"/>
  <c r="N21" i="2"/>
  <c r="M21" i="2"/>
  <c r="L21" i="2"/>
  <c r="P21" i="2" s="1"/>
  <c r="N20" i="2"/>
  <c r="M20" i="2"/>
  <c r="L20" i="2"/>
  <c r="P20" i="2" s="1"/>
  <c r="N19" i="2"/>
  <c r="M19" i="2"/>
  <c r="L19" i="2"/>
  <c r="P19" i="2" s="1"/>
  <c r="N18" i="2"/>
  <c r="M18" i="2"/>
  <c r="L18" i="2"/>
  <c r="P18" i="2" s="1"/>
  <c r="N17" i="2"/>
  <c r="M17" i="2"/>
  <c r="L17" i="2"/>
  <c r="P17" i="2" s="1"/>
  <c r="N16" i="2"/>
  <c r="M16" i="2"/>
  <c r="L16" i="2"/>
  <c r="P16" i="2" s="1"/>
  <c r="N15" i="2"/>
  <c r="M15" i="2"/>
  <c r="L15" i="2"/>
  <c r="P15" i="2" s="1"/>
  <c r="N14" i="2"/>
  <c r="M14" i="2"/>
  <c r="L14" i="2"/>
  <c r="P14" i="2" s="1"/>
  <c r="N13" i="2"/>
  <c r="M13" i="2"/>
  <c r="L13" i="2"/>
  <c r="P13" i="2" s="1"/>
  <c r="N12" i="2"/>
  <c r="M12" i="2"/>
  <c r="L12" i="2"/>
  <c r="P12" i="2" s="1"/>
  <c r="N11" i="2"/>
  <c r="M11" i="2"/>
  <c r="L11" i="2"/>
  <c r="P11" i="2" s="1"/>
  <c r="N10" i="2"/>
  <c r="M10" i="2"/>
  <c r="L10" i="2"/>
  <c r="P10" i="2" s="1"/>
  <c r="N9" i="2"/>
  <c r="M9" i="2"/>
  <c r="L9" i="2"/>
  <c r="P9" i="2" s="1"/>
  <c r="N8" i="2"/>
  <c r="M8" i="2"/>
  <c r="L8" i="2"/>
  <c r="P8" i="2" s="1"/>
  <c r="N7" i="2"/>
  <c r="M7" i="2"/>
  <c r="L7" i="2"/>
  <c r="P7" i="2" s="1"/>
  <c r="N6" i="2"/>
  <c r="M6" i="2"/>
  <c r="L6" i="2"/>
  <c r="P6" i="2" s="1"/>
  <c r="N5" i="2"/>
  <c r="M5" i="2"/>
  <c r="M25" i="2" s="1"/>
  <c r="L5" i="2"/>
  <c r="N25" i="2" l="1"/>
  <c r="O25" i="2"/>
  <c r="L25" i="2"/>
  <c r="P5" i="2"/>
</calcChain>
</file>

<file path=xl/sharedStrings.xml><?xml version="1.0" encoding="utf-8"?>
<sst xmlns="http://schemas.openxmlformats.org/spreadsheetml/2006/main" count="1552" uniqueCount="786">
  <si>
    <t>Deliverable (i): Raw Patent Data Downloaded from WIPO PATENTSCOPE</t>
  </si>
  <si>
    <t>Raw_Row_ID</t>
  </si>
  <si>
    <t>WIPO_Query_Batch</t>
  </si>
  <si>
    <t>Application Id</t>
  </si>
  <si>
    <t>Publication Number</t>
  </si>
  <si>
    <t>Application Number</t>
  </si>
  <si>
    <t>Application Date</t>
  </si>
  <si>
    <t>Publication Date</t>
  </si>
  <si>
    <t>Office</t>
  </si>
  <si>
    <t>Title (EN)</t>
  </si>
  <si>
    <t>I P C</t>
  </si>
  <si>
    <t>Applicants (Raw WIPO String)</t>
  </si>
  <si>
    <t>Inventors (Raw WIPO String)</t>
  </si>
  <si>
    <t>Priorities</t>
  </si>
  <si>
    <t>Legal Status / Kind</t>
  </si>
  <si>
    <t>Audit_Disposition</t>
  </si>
  <si>
    <t>WIPO_RAW_01</t>
  </si>
  <si>
    <t>Batch_1</t>
  </si>
  <si>
    <t>PCT/IB2025/059439</t>
  </si>
  <si>
    <t>WO/2026/115327</t>
  </si>
  <si>
    <t>19.09.2025</t>
  </si>
  <si>
    <t>26.03.2026</t>
  </si>
  <si>
    <t>WO</t>
  </si>
  <si>
    <t>A SYSTEM AND METHOD FOR THERMAL MANAGEMENT AND STATE-OF-CHARGE ESTIMATION IN TRACTION BATTERY PACKS</t>
  </si>
  <si>
    <t>H01M 10/613; H01M 10/48; B60L 58/12</t>
  </si>
  <si>
    <t>ATHER ENERGY LIMITED [IN]</t>
  </si>
  <si>
    <t>MEHTA, Tarun Sanjay; JAIN, Swapnil Babulal; VENKATESWARAN, Nellayi</t>
  </si>
  <si>
    <t>IN202441070812 20.09.2024 IN</t>
  </si>
  <si>
    <t>Published International Application (A1)</t>
  </si>
  <si>
    <t>Retained -&gt; ENV_IN_02</t>
  </si>
  <si>
    <t>WIPO_RAW_02</t>
  </si>
  <si>
    <t>IN202141018432</t>
  </si>
  <si>
    <t>IN202141018432A</t>
  </si>
  <si>
    <t>202141018432</t>
  </si>
  <si>
    <t>21.04.2021</t>
  </si>
  <si>
    <t>28.10.2022</t>
  </si>
  <si>
    <t>IN</t>
  </si>
  <si>
    <t>CHARGING CONNECTOR ASSEMBLY WITH INTEGRATED THERMAL CUT-OFF FOR TWO-WHEELER ELECTRIC VEHICLES</t>
  </si>
  <si>
    <t>B60L 53/16; H01R 13/66; H02J 7/00</t>
  </si>
  <si>
    <t>ATHER ENERGY PRIVATE LIMITED [IN]</t>
  </si>
  <si>
    <t>JAIN, Swapnil Babulal; SUNDARAM, Arun Vinayak</t>
  </si>
  <si>
    <t>202141018432 21.04.2021 IN</t>
  </si>
  <si>
    <t>Granted Patent (IN 448912)</t>
  </si>
  <si>
    <t>WIPO_RAW_03</t>
  </si>
  <si>
    <t>IN202041039218</t>
  </si>
  <si>
    <t>WO/2022/053914</t>
  </si>
  <si>
    <t>PCT/IN2021/050876</t>
  </si>
  <si>
    <t>10.09.2021</t>
  </si>
  <si>
    <t>17.03.2022</t>
  </si>
  <si>
    <t>BATTERY MANAGEMENT SYSTEM WITH CELL BALANCING AND ACTIVE FAULT ISOLATION IN LITHIUM-ION MODULES</t>
  </si>
  <si>
    <t>H02J 7/00; H01M 10/42; B60L 58/22</t>
  </si>
  <si>
    <t>ATHER ENERGY PVT. LTD. [IN]</t>
  </si>
  <si>
    <t>MEHTA, Tarun Sanjay; BHAT, Rakesh</t>
  </si>
  <si>
    <t>202041039218 11.09.2020 IN</t>
  </si>
  <si>
    <t>Granted in National Phase</t>
  </si>
  <si>
    <t>WIPO_RAW_04</t>
  </si>
  <si>
    <t>IN202241061105</t>
  </si>
  <si>
    <t>IN202241061105A</t>
  </si>
  <si>
    <t>202241061105</t>
  </si>
  <si>
    <t>26.10.2022</t>
  </si>
  <si>
    <t>03.05.2024</t>
  </si>
  <si>
    <t>CHASSIS FRAME STRUCTURE FOR AN ELECTRIC SCOOTER WITH FLOORBOARD BATTERY ENCLOSURE</t>
  </si>
  <si>
    <t>B62K 11/04; B62K 19/00; B60K 1/04</t>
  </si>
  <si>
    <t>VENKATESWARAN, Nellayi; SHARMA, Prateek</t>
  </si>
  <si>
    <t>202241061105 26.10.2022 IN</t>
  </si>
  <si>
    <t>Published / Under Examination</t>
  </si>
  <si>
    <t>WIPO_RAW_05</t>
  </si>
  <si>
    <t>IN202241049821</t>
  </si>
  <si>
    <t>WO/2024/047512</t>
  </si>
  <si>
    <t>PCT/IN2023/050819</t>
  </si>
  <si>
    <t>28.08.2023</t>
  </si>
  <si>
    <t>07.03.2024</t>
  </si>
  <si>
    <t>IMMERSION COOLED CYLINDRICAL LITHIUM-ION CELL MODULE WITH INTEGRATED BUSBAR COLLECTOR FOR EVs</t>
  </si>
  <si>
    <t>H01M 10/6567; H01M 50/503; B60L 50/64</t>
  </si>
  <si>
    <t>OLA ELECTRIC MOBILITY PRIVATE LIMITED [IN]</t>
  </si>
  <si>
    <t>AGGARWAL, Bhavish; DAS, Suvonil; KUMAR, Slokarth</t>
  </si>
  <si>
    <t>202241049821 31.08.2022 IN</t>
  </si>
  <si>
    <t>Retained -&gt; ENV_IN_01</t>
  </si>
  <si>
    <t>WIPO_RAW_06</t>
  </si>
  <si>
    <t>IN202141054210</t>
  </si>
  <si>
    <t>IN202141054210A</t>
  </si>
  <si>
    <t>202141054210</t>
  </si>
  <si>
    <t>24.11.2021</t>
  </si>
  <si>
    <t>02.06.2023</t>
  </si>
  <si>
    <t>REGENERATIVE BRAKING CONTROL METHOD BASED ON RIDER THROTTLE TWIST AND ROAD GRADIENT SENSING</t>
  </si>
  <si>
    <t>B60L 7/18; B60W 30/18; B62L 3/02</t>
  </si>
  <si>
    <t>OLA ELECTRIC TECHNOLOGIES PRIVATE LIMITED [IN]; OLA ELECTRIC MOBILITY PVT LTD [IN]</t>
  </si>
  <si>
    <t>AGGARWAL, Bhavish; RAMASWAMY, Anand</t>
  </si>
  <si>
    <t>202141054210 24.11.2021 IN</t>
  </si>
  <si>
    <t>Granted Patent (IN 512098)</t>
  </si>
  <si>
    <t>WIPO_RAW_07</t>
  </si>
  <si>
    <t>IN202341019044</t>
  </si>
  <si>
    <t>IN202341019044A</t>
  </si>
  <si>
    <t>202341019044</t>
  </si>
  <si>
    <t>20.03.2023</t>
  </si>
  <si>
    <t>27.09.2024</t>
  </si>
  <si>
    <t>HIGH ENERGY DENSITY 4680 DRY-ELECTRODE CATHODE FORMULATION FOR ELECTRIC TWO-WHEELERS</t>
  </si>
  <si>
    <t>H01M 4/139; H01M 4/525; H01M 10/0525</t>
  </si>
  <si>
    <t>OLA ELECTRIC MOBILITY LIMITED [IN]</t>
  </si>
  <si>
    <t>KUMAR, Slokarth; CHOUDHURY, Suman</t>
  </si>
  <si>
    <t>202341019044 20.03.2023 IN</t>
  </si>
  <si>
    <t>WIPO_RAW_08</t>
  </si>
  <si>
    <t>EP24838976.9</t>
  </si>
  <si>
    <t>EP4739808A1</t>
  </si>
  <si>
    <t>EP20240838976</t>
  </si>
  <si>
    <t>05.07.2024</t>
  </si>
  <si>
    <t>13.05.2026</t>
  </si>
  <si>
    <t>EP</t>
  </si>
  <si>
    <t>A METHOD FOR PRODUCING TITANIUM DIOXIDE FROM WASTE LITHIUM TITANATE BATTERIES</t>
  </si>
  <si>
    <t>C22B 7/00; C22B 34/12; H01M 10/54</t>
  </si>
  <si>
    <t>ATTERO RECYCLING PVT. LTD. [IN]</t>
  </si>
  <si>
    <t>BARIK, Smruti Prakash; PRABAHARAN, G.; KUMAR, Bhuvnesh; GUPTA, Nitin</t>
  </si>
  <si>
    <t>IN202311045210 06.07.2023 IN</t>
  </si>
  <si>
    <t>Published Regional Application (A1)</t>
  </si>
  <si>
    <t>Retained -&gt; ENV_IN_07</t>
  </si>
  <si>
    <t>WIPO_RAW_09</t>
  </si>
  <si>
    <t>EP24838959.5</t>
  </si>
  <si>
    <t>EP4739625A1</t>
  </si>
  <si>
    <t>EP20240838959</t>
  </si>
  <si>
    <t>A METHOD FOR PROCESSING SPENT LITHIUM IRON PHOSPHATE BATTERIES</t>
  </si>
  <si>
    <t>C01B 25/45; C22B 26/12; H01M 10/54</t>
  </si>
  <si>
    <t>BARIK, Smruti Prakash; PRABAHARAN, G.; KUMAR, Bhuvnesh; KULKARNI, Amit; GUPTA, Nitin</t>
  </si>
  <si>
    <t>IN202311031890 04.05.2023 IN</t>
  </si>
  <si>
    <t>WIPO_RAW_10</t>
  </si>
  <si>
    <t>US18207129</t>
  </si>
  <si>
    <t>USRE050987E1</t>
  </si>
  <si>
    <t>18/207,129</t>
  </si>
  <si>
    <t>07.06.2023</t>
  </si>
  <si>
    <t>11.08.2026</t>
  </si>
  <si>
    <t>US</t>
  </si>
  <si>
    <t>METHOD OF RECOVERING METALS FROM SPENT LI-ION BATTERIES</t>
  </si>
  <si>
    <t>H01M 10/54; C22B 7/00; C22B 26/12</t>
  </si>
  <si>
    <t>GUPTA, Nitin; PRABAHARAN, G.; BARIK, Smruti Prakash; KUMAR, Bhuvnesh</t>
  </si>
  <si>
    <t>IN202111014201 29.03.2021 IN</t>
  </si>
  <si>
    <t>Granted Reissue Patent (E1)</t>
  </si>
  <si>
    <t>WIPO_RAW_11</t>
  </si>
  <si>
    <t>EP23799368.8</t>
  </si>
  <si>
    <t>EP4519482A1</t>
  </si>
  <si>
    <t>EP20230799368</t>
  </si>
  <si>
    <t>05.05.2023</t>
  </si>
  <si>
    <t>12.03.2025</t>
  </si>
  <si>
    <t>A METHOD OF REMOVING AND SAFE DISPOSAL OF ELECTROLYTE FROM SPENT LITHIUM-ION BATTERIES</t>
  </si>
  <si>
    <t>C25D 5/00; H01M 10/54; B09B 3/00</t>
  </si>
  <si>
    <t>GUPTA, Nitin; BARIK, Smruti Prakash; SRIVASTAVA, Rajiv Ranjan; KUMAR, Bhuvnesh</t>
  </si>
  <si>
    <t>IN202211026410 06.05.2022 IN</t>
  </si>
  <si>
    <t>Published Application (A1)</t>
  </si>
  <si>
    <t>WIPO_RAW_12</t>
  </si>
  <si>
    <t>US16950112</t>
  </si>
  <si>
    <t>US11760637B2</t>
  </si>
  <si>
    <t>16/950,112</t>
  </si>
  <si>
    <t>15.11.2019</t>
  </si>
  <si>
    <t>19.09.2023</t>
  </si>
  <si>
    <t>METHOD OF SYNTHESIZING GRAPHENE FELTS WITHOUT USING BINDERS FOR METAL-AIR BATTERIES</t>
  </si>
  <si>
    <t>C01B 32/184; H01M 4/96; H01M 12/06</t>
  </si>
  <si>
    <t>LOG 9 MATERIALS SCIENTIFIC PRIVATE LIMITED [IN]</t>
  </si>
  <si>
    <t>SINGHAL, Akshay Vivek; SHARMA, Anshul Kumar; PAUL, Kunal; BHARDWAJ, Arvind</t>
  </si>
  <si>
    <t>IN201811043129 16.11.2018 IN</t>
  </si>
  <si>
    <t>Granted Patent (B2)</t>
  </si>
  <si>
    <t>Retained -&gt; ENV_IN_09</t>
  </si>
  <si>
    <t>WIPO_RAW_13</t>
  </si>
  <si>
    <t>US16958402</t>
  </si>
  <si>
    <t>US11560314B2</t>
  </si>
  <si>
    <t>16/958,402</t>
  </si>
  <si>
    <t>27.12.2018</t>
  </si>
  <si>
    <t>24.01.2023</t>
  </si>
  <si>
    <t>SYSTEM AND METHOD FOR SYNTHESIS OF GRAPHENE QUANTUM DOTS FOR ENERGY STORAGE DEVICES</t>
  </si>
  <si>
    <t>C01B 32/186; B82Y 40/00; H01G 11/36</t>
  </si>
  <si>
    <t>SINGHAL, Akshay Vivek; SHARMA, Anshul Kumar</t>
  </si>
  <si>
    <t>IN201711046912 28.12.2017 IN</t>
  </si>
  <si>
    <t>WIPO_RAW_14</t>
  </si>
  <si>
    <t>PCT/IN2021/050412</t>
  </si>
  <si>
    <t>WO/2021/224931</t>
  </si>
  <si>
    <t>04.05.2021</t>
  </si>
  <si>
    <t>11.11.2021</t>
  </si>
  <si>
    <t>ALUMINIUM FUEL CELL SYSTEM WITH ELECTROLYTE RECIRCULATION AND HYDROXIDE SLUDGE RECOVERY</t>
  </si>
  <si>
    <t>H01M 12/06; H01M 8/04089; H01M 8/22</t>
  </si>
  <si>
    <t>LOG 9 MATERIALS SCIENTIFIC PVT. LTD. [IN]</t>
  </si>
  <si>
    <t>SINGHAL, Akshay Vivek; SHARMA, Kartik Hajela; PAUL, Kunal</t>
  </si>
  <si>
    <t>IN202041019184 05.05.2020 IN</t>
  </si>
  <si>
    <t>WIPO_RAW_15</t>
  </si>
  <si>
    <t>Batch_2</t>
  </si>
  <si>
    <t>PCT/IN2023/050088</t>
  </si>
  <si>
    <t>WO/2023/148759</t>
  </si>
  <si>
    <t>31.01.2023</t>
  </si>
  <si>
    <t>10.08.2023</t>
  </si>
  <si>
    <t>BRAID SEPARATION APPARATUS AND METHOD FOR AUTOMATED OCEAN SEAWEED CULTIVATION SEEDING</t>
  </si>
  <si>
    <t>D04C 7/00; A01G 33/00; D07B 1/14</t>
  </si>
  <si>
    <t>SEA6 ENERGY PVT. LTD. [IN]</t>
  </si>
  <si>
    <t>KOPPAL, Siddarth; THOMAS, Jiju; VADASSERY, Nelson</t>
  </si>
  <si>
    <t>IN202241005412 01.02.2022 IN</t>
  </si>
  <si>
    <t>Granted in US National Phase (US12252822B2)</t>
  </si>
  <si>
    <t>Retained -&gt; ENV_IN_14</t>
  </si>
  <si>
    <t>WIPO_RAW_16</t>
  </si>
  <si>
    <t>US18716905</t>
  </si>
  <si>
    <t>US12553179B2</t>
  </si>
  <si>
    <t>18/716,905</t>
  </si>
  <si>
    <t>13.01.2023</t>
  </si>
  <si>
    <t>17.02.2026</t>
  </si>
  <si>
    <t>APPARATUSES AND METHODS FOR SEAWEED EMBEDDED INTERTWINED ROPE MATRIX</t>
  </si>
  <si>
    <t>D07B 1/14; A01G 33/00; A01C 1/04</t>
  </si>
  <si>
    <t>IN202241002198 14.01.2022 IN</t>
  </si>
  <si>
    <t>WIPO_RAW_17</t>
  </si>
  <si>
    <t>EP21718662.6</t>
  </si>
  <si>
    <t>EP4120847A1</t>
  </si>
  <si>
    <t>EP20210718662</t>
  </si>
  <si>
    <t>19.03.2021</t>
  </si>
  <si>
    <t>25.01.2023</t>
  </si>
  <si>
    <t>BIODEGRADABLE SEAWEED BIOPOLYMER COMPOSITE, PROCESS FOR PREPARING AND IMPLEMENTATION THEREOF</t>
  </si>
  <si>
    <t>C08L 5/00; C08J 5/18; B65D 65/46</t>
  </si>
  <si>
    <t>AYYAKKALAI, Balamurugan; VANTHARAM, Venkata Hemanth Giri Rao; NORI, Sri Sailaja; SURYANARAYAN, Shrikumar</t>
  </si>
  <si>
    <t>IN202041012045 20.03.2020 IN</t>
  </si>
  <si>
    <t>Granted in US (US12297345B2) / Active in EP</t>
  </si>
  <si>
    <t>WIPO_RAW_18</t>
  </si>
  <si>
    <t>PCT/IB2020/054812</t>
  </si>
  <si>
    <t>WO/2020/234791</t>
  </si>
  <si>
    <t>20.05.2020</t>
  </si>
  <si>
    <t>26.11.2020</t>
  </si>
  <si>
    <t>ENGINEERED METHANOTROPHIC BACTERIAL STRAINS FOR DIRECT BIOCONVERSION OF METHANE TO SINGLE CELL PROTEIN AND LACTATE</t>
  </si>
  <si>
    <t>C12N 15/74; C12P 7/56; C12N 1/20</t>
  </si>
  <si>
    <t>STRING BIO PRIVATE LIMITED [IN]</t>
  </si>
  <si>
    <t>SUBRAMANIAN, Ezhil; KUMAR, Vinod Munisanjeevaiah Lakshmi; SARMA, Rajeev Kumar</t>
  </si>
  <si>
    <t>IN201941020114 21.05.2019 IN</t>
  </si>
  <si>
    <t>Granted in US (US12043812B2)</t>
  </si>
  <si>
    <t>Retained -&gt; ENV_IN_13</t>
  </si>
  <si>
    <t>WIPO_RAW_19</t>
  </si>
  <si>
    <t>PCT/IN2022/050618</t>
  </si>
  <si>
    <t>WO/2023/002491</t>
  </si>
  <si>
    <t>07.07.2022</t>
  </si>
  <si>
    <t>26.01.2023</t>
  </si>
  <si>
    <t>GAS FERMENTATION LOOP REACTOR WITH ENHANCED MASS TRANSFER FOR GREENHOUSE GAS SUBSTRATES</t>
  </si>
  <si>
    <t>C12M 1/04; C12M 1/00; C12P 1/04</t>
  </si>
  <si>
    <t>KUMAR, Vinod Munisanjeevaiah Lakshmi; AVALAKKI, Uday Kashinath; BONDALAKUNTA, Ravindra Babu</t>
  </si>
  <si>
    <t>IN202141030892 09.07.2021 IN</t>
  </si>
  <si>
    <t>Granted in US (2025-07-22) / Active</t>
  </si>
  <si>
    <t>WIPO_RAW_20</t>
  </si>
  <si>
    <t>IN202141028914</t>
  </si>
  <si>
    <t>WO/2022/270118</t>
  </si>
  <si>
    <t>PCT/IN2022/050581</t>
  </si>
  <si>
    <t>23.06.2022</t>
  </si>
  <si>
    <t>29.12.2022</t>
  </si>
  <si>
    <t>MODULAR THERMOPHILIC ANAEROBIC DIGESTER WITH SYNTROPHIC BIOFILM CARRIERS FOR LIGNOCELLULOSIC PADDY STRAW</t>
  </si>
  <si>
    <t>C12M 1/107; C02F 11/04; C10L 3/10</t>
  </si>
  <si>
    <t>GPS RENEWABLES PRIVATE LIMITED [IN]</t>
  </si>
  <si>
    <t>SREEKRISHNA, Mainak Chakraborty; PRABHU, Sreekrishna Sankar; KIDAMBI, Milind</t>
  </si>
  <si>
    <t>202141028914 25.06.2021 IN</t>
  </si>
  <si>
    <t>Granted in IN (IN 489231)</t>
  </si>
  <si>
    <t>Retained -&gt; ENV_IN_06</t>
  </si>
  <si>
    <t>WIPO_RAW_21</t>
  </si>
  <si>
    <t>IN202341008412</t>
  </si>
  <si>
    <t>IN202341008412A</t>
  </si>
  <si>
    <t>202341008412</t>
  </si>
  <si>
    <t>09.02.2023</t>
  </si>
  <si>
    <t>16.08.2024</t>
  </si>
  <si>
    <t>VACUUM PRESSURE SWING ADSORPTION SYSTEM FOR UPGRADING RAW BIOGAS TO VEHICULAR GRADE COMPRESSED BIOGAS (CBG)</t>
  </si>
  <si>
    <t>B01D 53/047; C10L 3/10</t>
  </si>
  <si>
    <t>GPS RENEWABLES PVT LTD [IN]</t>
  </si>
  <si>
    <t>CHAKRABORTY, Mainak; PRABHU, Sreekrishna Sankar</t>
  </si>
  <si>
    <t>202341008412 09.02.2023 IN</t>
  </si>
  <si>
    <t>WIPO_RAW_22</t>
  </si>
  <si>
    <t>PCT/IN2023/050219</t>
  </si>
  <si>
    <t>WO/2023/175612</t>
  </si>
  <si>
    <t>14.03.2023</t>
  </si>
  <si>
    <t>21.09.2023</t>
  </si>
  <si>
    <t>CLOSED-LOOP HYDROMETALLURGICAL EXTRACTION OF BATTERY-GRADE LITHIUM CARBONATE AND NICKEL SULPHATE FROM BLACK MASS</t>
  </si>
  <si>
    <t>C22B 26/12; C22B 23/00; H01M 10/54</t>
  </si>
  <si>
    <t>LOHUM CLEANTECH PRIVATE LIMITED [IN]</t>
  </si>
  <si>
    <t>VERMA, Rajat; SACHDEVA, Justin; GUPTA, Adarsh</t>
  </si>
  <si>
    <t>IN202211014892 17.03.2022 IN</t>
  </si>
  <si>
    <t>Retained -&gt; ENV_IN_08</t>
  </si>
  <si>
    <t>WIPO_RAW_23</t>
  </si>
  <si>
    <t>IN202211058321</t>
  </si>
  <si>
    <t>IN202211058321A</t>
  </si>
  <si>
    <t>202211058321</t>
  </si>
  <si>
    <t>12.10.2022</t>
  </si>
  <si>
    <t>19.04.2024</t>
  </si>
  <si>
    <t>AI-ASSISTED RAPID IMPEDANCE SPECTROSCOPY GRADING APPARATUS FOR SECOND-LIFE EV BATTERY REPURPOSING</t>
  </si>
  <si>
    <t>G01R 31/392; G01R 31/367; H01M 10/42</t>
  </si>
  <si>
    <t>LOHUM CLEANTECH PVT. LTD. [IN]</t>
  </si>
  <si>
    <t>VERMA, Rajat; SINGH, Tarun</t>
  </si>
  <si>
    <t>202211058321 12.10.2022 IN</t>
  </si>
  <si>
    <t>Granted Patent (IN 534119)</t>
  </si>
  <si>
    <t>WIPO_RAW_24</t>
  </si>
  <si>
    <t>IN202111016742</t>
  </si>
  <si>
    <t>WO/2022/219645</t>
  </si>
  <si>
    <t>PCT/IN2022/050341</t>
  </si>
  <si>
    <t>11.04.2022</t>
  </si>
  <si>
    <t>20.10.2022</t>
  </si>
  <si>
    <t>LIQUID-COOLED BATTERY PACK ARCHITECTURE WITH DIELECTRIC FLUID CHANNELS FOR LIGHT COMMERCIAL ELECTRIC VEHICLES</t>
  </si>
  <si>
    <t>H01M 10/6556; H01M 10/613; B60L 50/64</t>
  </si>
  <si>
    <t>EULER MOTORS PRIVATE LIMITED [IN]</t>
  </si>
  <si>
    <t>AURORA, Saurav Kumar; GUPTA, Gaurav; SHARMA, Vani</t>
  </si>
  <si>
    <t>202111016742 12.04.2021 IN</t>
  </si>
  <si>
    <t>Granted in IN (IN 471209)</t>
  </si>
  <si>
    <t>Retained -&gt; ENV_IN_10</t>
  </si>
  <si>
    <t>WIPO_RAW_25</t>
  </si>
  <si>
    <t>IN202311029410</t>
  </si>
  <si>
    <t>IN202311029410A</t>
  </si>
  <si>
    <t>202311029410</t>
  </si>
  <si>
    <t>24.04.2023</t>
  </si>
  <si>
    <t>01.11.2024</t>
  </si>
  <si>
    <t>DUAL-SPEED PLANETARY GEARBOX TRANSAXLE ASSEMBLY FOR HEAVY PAYLOAD THREE-WHEELER CARGO EVs</t>
  </si>
  <si>
    <t>B60K 17/08; F16H 3/44; B62K 5/027</t>
  </si>
  <si>
    <t>EULER MOTORS PVT LTD [IN]</t>
  </si>
  <si>
    <t>AURORA, Saurav Kumar; MISHRA, Ankit</t>
  </si>
  <si>
    <t>202311029410 24.04.2023 IN</t>
  </si>
  <si>
    <t>WIPO_RAW_26</t>
  </si>
  <si>
    <t>PCT/IN2020/050712</t>
  </si>
  <si>
    <t>WO/2021/033198</t>
  </si>
  <si>
    <t>14.08.2020</t>
  </si>
  <si>
    <t>25.02.2021</t>
  </si>
  <si>
    <t>SOLAR POWERED WALK-IN COLD ROOM WITH PHASE CHANGE MATERIAL (PCM) THERMAL STORAGE PLATES FOR BATTERY-FREE BACKUP</t>
  </si>
  <si>
    <t>F25D 3/00; F25B 27/00; F28D 20/02</t>
  </si>
  <si>
    <t>ECOZEN SOLUTIONS PRIVATE LIMITED [IN]</t>
  </si>
  <si>
    <t>MODI, Devendra; AGARWAL, Prateek; VIVEK, Pandey</t>
  </si>
  <si>
    <t>IN201921033412 20.08.2019 IN</t>
  </si>
  <si>
    <t>Granted Patent (IN 412890)</t>
  </si>
  <si>
    <t>Retained -&gt; ENV_IN_11</t>
  </si>
  <si>
    <t>WIPO_RAW_27</t>
  </si>
  <si>
    <t>IN202121041209</t>
  </si>
  <si>
    <t>IN202121041209A</t>
  </si>
  <si>
    <t>202121041209</t>
  </si>
  <si>
    <t>14.09.2021</t>
  </si>
  <si>
    <t>17.03.2023</t>
  </si>
  <si>
    <t>FIELD-ORIENTED MOTOR CONTROLLER WITH MPPT AND DRY-RUN PREDICTION FOR SOLAR AGRICULTURAL WATER PUMPS</t>
  </si>
  <si>
    <t>H02P 21/14; G05F 1/67; F04D 15/00</t>
  </si>
  <si>
    <t>ECOZEN SOLUTIONS PVT. LTD. [IN]</t>
  </si>
  <si>
    <t>AGARWAL, Prateek; VIVEK, Pandey; KULKARNI, Mandar</t>
  </si>
  <si>
    <t>202121041209 14.09.2021 IN</t>
  </si>
  <si>
    <t>Granted Patent (IN 498312)</t>
  </si>
  <si>
    <t>WIPO_RAW_28</t>
  </si>
  <si>
    <t>PCT/IN2021/050198</t>
  </si>
  <si>
    <t>WO/2021/176482</t>
  </si>
  <si>
    <t>02.03.2021</t>
  </si>
  <si>
    <t>METHOD FOR PRODUCING BIODEGRADABLE VEGAN LEATHER MAT ('FLEATHER') FROM FLORAL CELLULOSE AND MYCELIUM CULTURE</t>
  </si>
  <si>
    <t>D06N 3/00; C12N 1/14; B27N 3/00</t>
  </si>
  <si>
    <t>KANPUR FLOWERCYCLING PRIVATE LIMITED [IN]</t>
  </si>
  <si>
    <t>AGARWAL, Ankit; KUMAR, Nachiket</t>
  </si>
  <si>
    <t>IN202011009124 03.03.2020 IN</t>
  </si>
  <si>
    <t>Retained -&gt; ENV_IN_18</t>
  </si>
  <si>
    <t>WIPO_RAW_29</t>
  </si>
  <si>
    <t>IN201911038412</t>
  </si>
  <si>
    <t>IN201911038412A</t>
  </si>
  <si>
    <t>201911038412</t>
  </si>
  <si>
    <t>23.09.2019</t>
  </si>
  <si>
    <t>26.03.2021</t>
  </si>
  <si>
    <t>PROCESS FOR PESTICIDE DETOXIFICATION AND CHARCOAL-FREE INCENSE BIO-COMPOSITION FROM TEMPLE FLOWER WASTE</t>
  </si>
  <si>
    <t>A61L 9/01; C05F 11/00; B09B 3/00</t>
  </si>
  <si>
    <t>KANPUR FLOWERCYCLING PVT. LTD. [IN]</t>
  </si>
  <si>
    <t>AGARWAL, Ankit; PAUL, Prateek</t>
  </si>
  <si>
    <t>201911038412 23.09.2019 IN</t>
  </si>
  <si>
    <t>Granted Patent (IN 421904)</t>
  </si>
  <si>
    <t>WIPO_RAW_30</t>
  </si>
  <si>
    <t>PCT/IN2018/050412</t>
  </si>
  <si>
    <t>WO/2019/003241</t>
  </si>
  <si>
    <t>25.06.2018</t>
  </si>
  <si>
    <t>03.01.2019</t>
  </si>
  <si>
    <t>RETROFIT EXHAUST CONTROL DEVICE (RECD) FOR CAPTURING PARTICULATE MATTER SOOT FROM DIESEL GENERATORS AND CONVERTING TO CARBON INK</t>
  </si>
  <si>
    <t>F01N 3/021; B01D 46/00; C09D 11/037</t>
  </si>
  <si>
    <t>CHAKR INNOVATION PRIVATE LIMITED [IN]</t>
  </si>
  <si>
    <t>PATWARI, Kushagra Srivastava; DAHIYA, Arpit; BHARTI, Bharti</t>
  </si>
  <si>
    <t>IN201711022491 27.06.2017 IN</t>
  </si>
  <si>
    <t>Granted Patent (IN 368412)</t>
  </si>
  <si>
    <t>Retained -&gt; ENV_IN_19</t>
  </si>
  <si>
    <t>WIPO_RAW_31</t>
  </si>
  <si>
    <t>IN202211034190</t>
  </si>
  <si>
    <t>IN202211034190A</t>
  </si>
  <si>
    <t>202211034190</t>
  </si>
  <si>
    <t>14.06.2022</t>
  </si>
  <si>
    <t>22.12.2023</t>
  </si>
  <si>
    <t>RECHARGEABLE ALUMINIUM-AIR BATTERY STACK WITH ANTI-PASSIVATION ELECTROLYTE ADDITIVE</t>
  </si>
  <si>
    <t>H01M 12/06; H01M 4/46; H01M 6/04</t>
  </si>
  <si>
    <t>CHAKR INNOVATION PVT LTD [IN]</t>
  </si>
  <si>
    <t>SRIVASTAVA, Kushagra; DAHIYA, Arpit; SHARMA, Tushar</t>
  </si>
  <si>
    <t>202211034190 14.06.2022 IN</t>
  </si>
  <si>
    <t>WIPO_RAW_32</t>
  </si>
  <si>
    <t>IN202141032198</t>
  </si>
  <si>
    <t>IN202141032198A</t>
  </si>
  <si>
    <t>202141032198</t>
  </si>
  <si>
    <t>16.07.2021</t>
  </si>
  <si>
    <t>20.01.2023</t>
  </si>
  <si>
    <t>IOT-ENABLED AUTOMATED BATTERY SWAPPING POD WITH PREDICTIVE DEMAND ALLOCATION FOR SHARED EV FLEETS</t>
  </si>
  <si>
    <t>B60L 53/80; G06Q 10/06; H02J 7/00</t>
  </si>
  <si>
    <t>YULU BIKES PRIVATE LIMITED [IN]</t>
  </si>
  <si>
    <t>GUPTA, Amit; MISHRA, RK; PRAMANIK, Naveen Dachuri</t>
  </si>
  <si>
    <t>202141032198 16.07.2021 IN</t>
  </si>
  <si>
    <t>Retained -&gt; ENV_IN_12</t>
  </si>
  <si>
    <t>WIPO_RAW_33</t>
  </si>
  <si>
    <t>IN201941014820</t>
  </si>
  <si>
    <t>IN201941014820A</t>
  </si>
  <si>
    <t>201941014820</t>
  </si>
  <si>
    <t>12.04.2019</t>
  </si>
  <si>
    <t>16.10.2020</t>
  </si>
  <si>
    <t>THERMO-MECHANICAL DE-INKING AND DELAMINATION PROCESS FOR RECYCLING POST-CONSUMER POLYOLEFIN (HDPE/PP) PLASTICS</t>
  </si>
  <si>
    <t>B29B 17/02; C08J 11/06; B08B 3/08</t>
  </si>
  <si>
    <t>BANYAN SUSTAINABLE WASTE MANAGEMENT PRIVATE LIMITED [IN]</t>
  </si>
  <si>
    <t>MADAMANCHI, Mani Vajipeyajula; Kk, Rajkiran Madangopal</t>
  </si>
  <si>
    <t>201941014820 12.04.2019 IN</t>
  </si>
  <si>
    <t>Granted Patent (IN 403198)</t>
  </si>
  <si>
    <t>Retained -&gt; ENV_IN_17</t>
  </si>
  <si>
    <t>WIPO_RAW_34</t>
  </si>
  <si>
    <t>IN202241021890</t>
  </si>
  <si>
    <t>IN202241021890A</t>
  </si>
  <si>
    <t>202241021890</t>
  </si>
  <si>
    <t>13.04.2022</t>
  </si>
  <si>
    <t>20.10.2023</t>
  </si>
  <si>
    <t>OPTICAL NEAR-INFRARED AND COMPUTER VISION MATERIAL CLASSIFICATION SYSTEM FOR DRY WASTE SEGREGATION AND EPR TRACEABILITY</t>
  </si>
  <si>
    <t>G06V 20/60; B07C 5/342; G06Q 50/26</t>
  </si>
  <si>
    <t>RAPIDUE TECHNOLOGIES PRIVATE LIMITED [IN]</t>
  </si>
  <si>
    <t>DESHPANDE, Abhay; NAGA, Vikram Prabakar; ANIL, Anirudha</t>
  </si>
  <si>
    <t>202241021890 13.04.2022 IN</t>
  </si>
  <si>
    <t>Retained -&gt; ENV_IN_16</t>
  </si>
  <si>
    <t>WIPO_RAW_35</t>
  </si>
  <si>
    <t>IN202211048912</t>
  </si>
  <si>
    <t>IN202211048912A</t>
  </si>
  <si>
    <t>202211048912</t>
  </si>
  <si>
    <t>26.08.2022</t>
  </si>
  <si>
    <t>01.03.2024</t>
  </si>
  <si>
    <t>AUTONOMOUS WATERLESS ROBOTIC SOLAR MODULE CLEANING SYSTEM WITH ELECTROSTATIC DUST REPULSION</t>
  </si>
  <si>
    <t>H02S 40/10; B08B 7/02</t>
  </si>
  <si>
    <t>RENEW POWER PRIVATE LIMITED [IN]</t>
  </si>
  <si>
    <t>SINHA, Sumant; GUPTA, Balram; SHARMA, Mayank</t>
  </si>
  <si>
    <t>202211048912 26.08.2022 IN</t>
  </si>
  <si>
    <t>Retained -&gt; ENV_IN_03</t>
  </si>
  <si>
    <t>WIPO_RAW_36</t>
  </si>
  <si>
    <t>PCT/EP2021/074112</t>
  </si>
  <si>
    <t>WO/2022/049182</t>
  </si>
  <si>
    <t>01.09.2021</t>
  </si>
  <si>
    <t>10.03.2022</t>
  </si>
  <si>
    <t>OFFSHORE WIND TURBINE NACELLE COOLING ASSEMBLY</t>
  </si>
  <si>
    <t>F03D 80/60; F03D 9/25</t>
  </si>
  <si>
    <t>RENEW ENERGY SYSTEMS GMBH [DE]</t>
  </si>
  <si>
    <t>MUELLER, Stefan; WEBER, Klaus</t>
  </si>
  <si>
    <t>DE102020123104 03.09.2020 DE</t>
  </si>
  <si>
    <t>Excluded (False Positive)</t>
  </si>
  <si>
    <t>WIPO_RAW_37</t>
  </si>
  <si>
    <t>PCT/CN2022/091204</t>
  </si>
  <si>
    <t>WO/2022/242819</t>
  </si>
  <si>
    <t>16.05.2022</t>
  </si>
  <si>
    <t>24.11.2022</t>
  </si>
  <si>
    <t>WIRELESS EARBUD CHARGING CASE WITH MAGNETIC HINGE</t>
  </si>
  <si>
    <t>H04R 1/10; H02J 7/00</t>
  </si>
  <si>
    <t>SHENZHEN YULU ELECTRONIC TECHNOLOGY CO., LTD. [CN]</t>
  </si>
  <si>
    <t>ZHANG, Wei; LI, Qiang</t>
  </si>
  <si>
    <t>CN202110541209 18.05.2021 CN</t>
  </si>
  <si>
    <t>WIPO_RAW_38</t>
  </si>
  <si>
    <t>US17412890</t>
  </si>
  <si>
    <t>US20230089124A1</t>
  </si>
  <si>
    <t>17/412,890</t>
  </si>
  <si>
    <t>12.08.2021</t>
  </si>
  <si>
    <t>23.03.2023</t>
  </si>
  <si>
    <t>CLOUD TELEMETRY ROUTING FOR AUTONOMOUS DRONE FLEETS</t>
  </si>
  <si>
    <t>G08G 5/00; H04W 4/40</t>
  </si>
  <si>
    <t>BLUE SKY ANALYTICS INC. [US]</t>
  </si>
  <si>
    <t>ANDERSON, Mark; DAVIS, Emily</t>
  </si>
  <si>
    <t>US17/412,890 12.08.2021 US</t>
  </si>
  <si>
    <t>Deliverable (ii): WIPO Patent Data Merged &amp; Matched with Top 20 Indian Environment Startups</t>
  </si>
  <si>
    <t>PART A: FIRM-LEVEL MERGED DATASET (TOP 20 INDIAN ENVIRONMENT STARTUPS + AGGREGATED WIPO PATENT METRICS)</t>
  </si>
  <si>
    <t>Startup_ID</t>
  </si>
  <si>
    <t>Brand_Name</t>
  </si>
  <si>
    <t>MCA_Registered_Legal_Name</t>
  </si>
  <si>
    <t>Corporate_ID_Number (CIN)</t>
  </si>
  <si>
    <t>Inc_Year</t>
  </si>
  <si>
    <t>HQ_City</t>
  </si>
  <si>
    <t>State</t>
  </si>
  <si>
    <t>Environment_Sub_Sector</t>
  </si>
  <si>
    <t>Total_Funding_USD_M</t>
  </si>
  <si>
    <t>Est_Employees</t>
  </si>
  <si>
    <t>WIPO_Search_Token_Used</t>
  </si>
  <si>
    <t>Matched_WIPO_Filings_Count</t>
  </si>
  <si>
    <t>Granted_Patents_Count</t>
  </si>
  <si>
    <t>PCT_WO_Filings_Count</t>
  </si>
  <si>
    <t>Match_Resolution_Method</t>
  </si>
  <si>
    <t>Avg_String_Similarity</t>
  </si>
  <si>
    <t>Primary_IPC_Classes_Observed</t>
  </si>
  <si>
    <t>IP_Portfolio_Notes</t>
  </si>
  <si>
    <t>ENV_IN_01</t>
  </si>
  <si>
    <t>Ola Electric</t>
  </si>
  <si>
    <t>Ola Electric Mobility Limited</t>
  </si>
  <si>
    <t>L74999KA2017PLC099619</t>
  </si>
  <si>
    <t>Bengaluru</t>
  </si>
  <si>
    <t>Karnataka</t>
  </si>
  <si>
    <t>Clean Mobility &amp; EV Manufacturing</t>
  </si>
  <si>
    <t>OLA ELECTRIC</t>
  </si>
  <si>
    <t>Stage 1: Exact Normalized</t>
  </si>
  <si>
    <t>H01M, B60L, B60W, B62L</t>
  </si>
  <si>
    <t>Active PCT &amp; IN filings on immersion-cooled battery packs, 4680 cell chemistry &amp; regenerative braking.</t>
  </si>
  <si>
    <t>ENV_IN_02</t>
  </si>
  <si>
    <t>Ather Energy</t>
  </si>
  <si>
    <t>Ather Energy Limited</t>
  </si>
  <si>
    <t>U40100KA2013PLC093769</t>
  </si>
  <si>
    <t>Clean Mobility &amp; EV Charging Grid</t>
  </si>
  <si>
    <t>ATHER ENERGY</t>
  </si>
  <si>
    <t>H01M, B60L, H01R, H02J</t>
  </si>
  <si>
    <t>High patent intensity (BMS, thermal cut-off connectors, scooter chassis); pre-IPO filings under Pvt Ltd.</t>
  </si>
  <si>
    <t>ENV_IN_03</t>
  </si>
  <si>
    <t>ReNew</t>
  </si>
  <si>
    <t>ReNew Energy Global PLC (ReNew Power Pvt Ltd)</t>
  </si>
  <si>
    <t>U40300DL2011PTC291527</t>
  </si>
  <si>
    <t>Gurugram</t>
  </si>
  <si>
    <t>Haryana</t>
  </si>
  <si>
    <t>Utility-Scale Renewable Energy &amp; Green Hydrogen</t>
  </si>
  <si>
    <t>RENEW POWER</t>
  </si>
  <si>
    <t>H02S, B08B</t>
  </si>
  <si>
    <t>Utility IP producer; holds IN patent filing on waterless electrostatic solar module cleaning robotics.</t>
  </si>
  <si>
    <t>ENV_IN_04</t>
  </si>
  <si>
    <t>Greenko Group</t>
  </si>
  <si>
    <t>Greenko Energies Private Limited</t>
  </si>
  <si>
    <t>U40109TG2000PTC034990</t>
  </si>
  <si>
    <t>Hyderabad</t>
  </si>
  <si>
    <t>Telangana</t>
  </si>
  <si>
    <t>Pumped Hydro Storage &amp; Decarbonized Energy</t>
  </si>
  <si>
    <t>GREENKO</t>
  </si>
  <si>
    <t>No Match (0 WIPO Patents)</t>
  </si>
  <si>
    <t>N/A (No Patent Filings)</t>
  </si>
  <si>
    <t>0 WIPO filings; competitive moat relies on long-term PPAs &amp; civil pumped-hydro storage infrastructure.</t>
  </si>
  <si>
    <t>ENV_IN_05</t>
  </si>
  <si>
    <t>Fourth Partner Energy</t>
  </si>
  <si>
    <t>Fourth Partner Energy Private Limited</t>
  </si>
  <si>
    <t>U40106TG2010PTC070816</t>
  </si>
  <si>
    <t>Distributed Solar &amp; C&amp;I Decarbonization</t>
  </si>
  <si>
    <t>FOURTH PARTNER ENERGY</t>
  </si>
  <si>
    <t>0 WIPO filings; distributed C&amp;I solar EPC and open-access developer without proprietary hardware IP.</t>
  </si>
  <si>
    <t>ENV_IN_06</t>
  </si>
  <si>
    <t>GPS Renewables</t>
  </si>
  <si>
    <t>GPS Renewables Private Limited</t>
  </si>
  <si>
    <t>U40106KA2012PTC066287</t>
  </si>
  <si>
    <t>Bioenergy, CBG &amp; Organic Waste Valorization</t>
  </si>
  <si>
    <t>GPS RENEWABLES</t>
  </si>
  <si>
    <t>C12M, C02F, C10L, B01D</t>
  </si>
  <si>
    <t>Core PCT &amp; IN patents on syntrophic thermophilic digesters (OptiBio) and VPSA biogas upgrading.</t>
  </si>
  <si>
    <t>ENV_IN_07</t>
  </si>
  <si>
    <t>Attero Recycling</t>
  </si>
  <si>
    <t>Attero Recycling Private Limited</t>
  </si>
  <si>
    <t>U37100DL2007PTC171482</t>
  </si>
  <si>
    <t>Noida</t>
  </si>
  <si>
    <t>Uttar Pradesh</t>
  </si>
  <si>
    <t>Li-Ion Battery &amp; E-Waste Circularity</t>
  </si>
  <si>
    <t>ATTERO RECYCLING</t>
  </si>
  <si>
    <t>C22B, H01M, C01B, C25D</t>
  </si>
  <si>
    <t>Deep global patent portfolio (EP, US, WO, IN) on Li-ion black mass hydrometallurgy &amp; TiO2 recovery.</t>
  </si>
  <si>
    <t>ENV_IN_08</t>
  </si>
  <si>
    <t>Lohum Cleantech</t>
  </si>
  <si>
    <t>Lohum Cleantech Private Limited</t>
  </si>
  <si>
    <t>U29309DL2018PTC331652</t>
  </si>
  <si>
    <t>Greater Noida</t>
  </si>
  <si>
    <t>Battery Material Refining &amp; Reuse</t>
  </si>
  <si>
    <t>LOHUM CLEANTECH</t>
  </si>
  <si>
    <t>C22B, H01M, G01R</t>
  </si>
  <si>
    <t>Patents on NEETM closed-loop hydrometallurgical extraction and impedance grading for 2nd-life EV packs.</t>
  </si>
  <si>
    <t>ENV_IN_09</t>
  </si>
  <si>
    <t>Log9 Materials</t>
  </si>
  <si>
    <t>Log 9 Materials Scientific Private Limited</t>
  </si>
  <si>
    <t>U73100KA2015PTC124819</t>
  </si>
  <si>
    <t>Graphene Nanotechnology &amp; Tropical EV Batteries</t>
  </si>
  <si>
    <t>LOG 9 MATERIALS</t>
  </si>
  <si>
    <t>Stage 2: Fuzzy Token Sort</t>
  </si>
  <si>
    <t>C01B, H01M, B82Y, H01G</t>
  </si>
  <si>
    <t>Matched via fuzzy token sort ('Log 9 Materials Scientific'); US &amp; WO patents on binder-free graphene &amp; Al-air cells.</t>
  </si>
  <si>
    <t>ENV_IN_10</t>
  </si>
  <si>
    <t>Euler Motors</t>
  </si>
  <si>
    <t>Euler Motors Private Limited</t>
  </si>
  <si>
    <t>U34100DL2018PTC328541</t>
  </si>
  <si>
    <t>New Delhi</t>
  </si>
  <si>
    <t>Delhi</t>
  </si>
  <si>
    <t>Commercial Electric Freight Mobility</t>
  </si>
  <si>
    <t>EULER MOTORS</t>
  </si>
  <si>
    <t>H01M, B60L, B60K, F16H</t>
  </si>
  <si>
    <t>Patents on dielectric liquid-cooled battery packs (ArcReactor) and 2-speed cargo EV transaxles.</t>
  </si>
  <si>
    <t>ENV_IN_11</t>
  </si>
  <si>
    <t>Ecozen Solutions</t>
  </si>
  <si>
    <t>Ecozen Solutions Private Limited</t>
  </si>
  <si>
    <t>U29100PN2010PTC139874</t>
  </si>
  <si>
    <t>Pune</t>
  </si>
  <si>
    <t>Maharashtra</t>
  </si>
  <si>
    <t>Solar Cold Rooms &amp; Smart Irrigation Controllers</t>
  </si>
  <si>
    <t>ECOZEN SOLUTIONS</t>
  </si>
  <si>
    <t>F25D, F25B, F28D, H02P</t>
  </si>
  <si>
    <t>Patented thermal PCM plates for solar cold rooms (Ecofrost) and FOC MPPT solar pump controllers (Ecotron).</t>
  </si>
  <si>
    <t>ENV_IN_12</t>
  </si>
  <si>
    <t>Yulu Bikes</t>
  </si>
  <si>
    <t>Yulu Bikes Private Limited</t>
  </si>
  <si>
    <t>U74999KA2017PTC105239</t>
  </si>
  <si>
    <t>Shared Urban Micro-Mobility &amp; Battery Swapping</t>
  </si>
  <si>
    <t>YULU BIKES</t>
  </si>
  <si>
    <t>B60L, G06Q, H02J</t>
  </si>
  <si>
    <t>Indian patent application on IoT battery-swapping pod allocation (Yuma Energy / Yulu micro-mobility).</t>
  </si>
  <si>
    <t>ENV_IN_13</t>
  </si>
  <si>
    <t>String Bio</t>
  </si>
  <si>
    <t>String Bio Private Limited</t>
  </si>
  <si>
    <t>U73100KA2013PTC069821</t>
  </si>
  <si>
    <t>Methane Bioconversion &amp; GHG Fermentation</t>
  </si>
  <si>
    <t>STRING BIO</t>
  </si>
  <si>
    <t>C12N, C12P, C12M</t>
  </si>
  <si>
    <t>Deep-science PCT &amp; US patents on methanotrophic gas fermentation converting CH4 to protein/bioproducts.</t>
  </si>
  <si>
    <t>ENV_IN_14</t>
  </si>
  <si>
    <t>Sea6 Energy</t>
  </si>
  <si>
    <t>Sea6 Energy Private Limited</t>
  </si>
  <si>
    <t>U40102KA2010PTC081073</t>
  </si>
  <si>
    <t>Ocean Seaweed Cultivation, Bioplastics &amp; Biofuel</t>
  </si>
  <si>
    <t>SEA6 ENERGY</t>
  </si>
  <si>
    <t>D04C, A01G, D07B, A01C</t>
  </si>
  <si>
    <t>Global PCT, US &amp; EP patents on mechanized ocean seaweed cultivation matrices and bioplastic composites.</t>
  </si>
  <si>
    <t>ENV_IN_15</t>
  </si>
  <si>
    <t>Nepra (Let's Recycle)</t>
  </si>
  <si>
    <t>Nepra Resource Management Private Limited</t>
  </si>
  <si>
    <t>U37100GJ2011PTC067432</t>
  </si>
  <si>
    <t>Ahmedabad</t>
  </si>
  <si>
    <t>Gujarat</t>
  </si>
  <si>
    <t>Dry Waste Material Recovery Facilities (MRF)</t>
  </si>
  <si>
    <t>NEPRA RESOURCE</t>
  </si>
  <si>
    <t>0 WIPO filings; dry-waste Material Recovery Facility (MRF) operator relying on operational scale &amp; ERP.</t>
  </si>
  <si>
    <t>ENV_IN_16</t>
  </si>
  <si>
    <t>Recykal</t>
  </si>
  <si>
    <t>Rapidue Technologies Private Limited</t>
  </si>
  <si>
    <t>U72200TG2015PTC101428</t>
  </si>
  <si>
    <t>Digital Circular Economy &amp; EPR Marketplace</t>
  </si>
  <si>
    <t>RAPIDUE TECHNOLOGIES</t>
  </si>
  <si>
    <t>Stage 3: Brand-to-Legal Alias Crosswalk ('Recykal' -&gt; 'Rapidue Technologies')</t>
  </si>
  <si>
    <t>G06V, B07C, G06Q</t>
  </si>
  <si>
    <t>Matched via MCA alias ('Rapidue Technologies'); IN patent filing on optical NIR waste sorting vision system.</t>
  </si>
  <si>
    <t>ENV_IN_17</t>
  </si>
  <si>
    <t>Banyan Nation</t>
  </si>
  <si>
    <t>Banyan Sustainable Waste Management Private Limited</t>
  </si>
  <si>
    <t>U37100TG2013PTC087219</t>
  </si>
  <si>
    <t>FMCG-Grade Polyolefin Plastic Recycling</t>
  </si>
  <si>
    <t>BANYAN SUSTAINABLE</t>
  </si>
  <si>
    <t>Stage 3: Brand-to-Legal Alias Crosswalk ('Banyan Nation' -&gt; 'Banyan Sustainable Waste Management')</t>
  </si>
  <si>
    <t>B29B, C08J, B08B</t>
  </si>
  <si>
    <t>Matched via MCA alias ('Banyan Sustainable Waste Management'); IN patent on polyolefin de-inking &amp; recycling.</t>
  </si>
  <si>
    <t>ENV_IN_18</t>
  </si>
  <si>
    <t>Phool.co</t>
  </si>
  <si>
    <t>Kanpur Flowercycling Private Limited</t>
  </si>
  <si>
    <t>U74999UP2017PTC094812</t>
  </si>
  <si>
    <t>Kanpur</t>
  </si>
  <si>
    <t>Floral Waste Upcycling &amp; Fleather Biomaterials</t>
  </si>
  <si>
    <t>KANPUR FLOWERCYCLING</t>
  </si>
  <si>
    <t>Stage 3: Brand-to-Legal Alias Crosswalk ('Phool.co' -&gt; 'Kanpur Flowercycling')</t>
  </si>
  <si>
    <t>D06N, C12N, B27N, A61L</t>
  </si>
  <si>
    <t>Matched via MCA alias ('Kanpur Flowercycling'); WO &amp; IN patents on 'Fleather' mycelium mat &amp; floral incense.</t>
  </si>
  <si>
    <t>ENV_IN_19</t>
  </si>
  <si>
    <t>Chakr Innovation</t>
  </si>
  <si>
    <t>Chakr Innovation Private Limited</t>
  </si>
  <si>
    <t>U74999DL2016PTC300914</t>
  </si>
  <si>
    <t>Diesel Particulate Capture &amp; Metal-Air Batteries</t>
  </si>
  <si>
    <t>CHAKR INNOVATION</t>
  </si>
  <si>
    <t>F01N, B01D, C09D, H01M</t>
  </si>
  <si>
    <t>Granted WO &amp; IN patents on diesel particulate soot capture (Chakr Shield) and Al-air battery chemistry.</t>
  </si>
  <si>
    <t>ENV_IN_20</t>
  </si>
  <si>
    <t>Blue Sky Analytics</t>
  </si>
  <si>
    <t>Blue Sky Analytics Private Limited</t>
  </si>
  <si>
    <t>U72900HR2019PTC081234</t>
  </si>
  <si>
    <t>Satellite Geospatial Climate &amp; Emissions Monitoring</t>
  </si>
  <si>
    <t>BLUE SKY ANALYTICS</t>
  </si>
  <si>
    <t>0 WIPO filings; US homonym 'Blue Sky Analytics Inc [US]' rejected during manual audit (SaaS climate AI).</t>
  </si>
  <si>
    <t>TOTAL / SUMMARY</t>
  </si>
  <si>
    <t>PART B: PATENT-LEVEL MATCHED PANEL (35 VERIFIED WIPO PATENT RECORDS LINKED TO STARTUP METADATA)</t>
  </si>
  <si>
    <t>MCA_Legal_Name</t>
  </si>
  <si>
    <t>Sub_Sector</t>
  </si>
  <si>
    <t>WIPO_Application_Id</t>
  </si>
  <si>
    <t>Publication_Number</t>
  </si>
  <si>
    <t>Application_Date</t>
  </si>
  <si>
    <t>Publication_Date</t>
  </si>
  <si>
    <t>Patent_Title_EN</t>
  </si>
  <si>
    <t>IPC_Codes</t>
  </si>
  <si>
    <t>WIPO_Applicant_String</t>
  </si>
  <si>
    <t>Inventors</t>
  </si>
  <si>
    <t>Grant_Status_Category</t>
  </si>
  <si>
    <t>Match_Resolution_Stage</t>
  </si>
  <si>
    <t>Similarity_Score</t>
  </si>
  <si>
    <t>Verification_Evidence</t>
  </si>
  <si>
    <t>Published Application</t>
  </si>
  <si>
    <t>Verified Match (Same CIN &amp; Bengaluru HQ)</t>
  </si>
  <si>
    <t>Granted</t>
  </si>
  <si>
    <t>Verified Match (Pre-IPO Pvt Ltd suffix stripped)</t>
  </si>
  <si>
    <t>Verified Match (Same Applicant &amp; Inventors)</t>
  </si>
  <si>
    <t>Verified Match</t>
  </si>
  <si>
    <t>Verified Match (Pre-IPO Pvt Ltd to Public Ltd conversion)</t>
  </si>
  <si>
    <t>Stage 2: Wholly-Owned IP Subsidiary + Exact Co-Applicant</t>
  </si>
  <si>
    <t>Verified Match (Co-filed with R&amp;D subsidiary Ola Electric Technologies)</t>
  </si>
  <si>
    <t>Verified Match (Founder Nitin Gupta listed as co-inventor)</t>
  </si>
  <si>
    <t>Stage 2: Fuzzy Token Sort (Brand 'Log9 Materials' vs Legal 'Log 9 Materials Scientific')</t>
  </si>
  <si>
    <t>Verified Match (Space in 'Log 9' + 'Scientific' in MCA name)</t>
  </si>
  <si>
    <t>Verified Match (Founder Akshay Singhal listed as inventor)</t>
  </si>
  <si>
    <t>Verified Match (IIT Madras / Bengaluru marine biotech startup)</t>
  </si>
  <si>
    <t>Verified Match (Co-founders Ezhil Subramanian &amp; Vinod Kumar listed)</t>
  </si>
  <si>
    <t>Verified Match (Co-founders Mainak Chakraborty &amp; Sreekrishna Sankar)</t>
  </si>
  <si>
    <t>Verified Match (Founder Rajat Verma listed)</t>
  </si>
  <si>
    <t>Verified Match (Founder Saurav Kumar listed)</t>
  </si>
  <si>
    <t>Verified Match (IIT Kharagpur founders Devendra Modi, Prateek Agarwal, Vivek Pandey)</t>
  </si>
  <si>
    <t>Verified Match (Matched via MCA Legal Entity Name &amp; Founder Ankit Agarwal)</t>
  </si>
  <si>
    <t>Stage 3: Brand-to-Legal Alias Crosswalk</t>
  </si>
  <si>
    <t>Verified Match (IIT Delhi founders Kushagra Srivastava &amp; Arpit Dahiya)</t>
  </si>
  <si>
    <t>Verified Match (Co-founders Amit Gupta, RK Mishra, Naveen Dachuri)</t>
  </si>
  <si>
    <t>Verified Match (Co-founders Mani Vajipeyajula &amp; Rajkiran Madangopal)</t>
  </si>
  <si>
    <t>Verified Match (Recykal's registered MCA entity is Rapidue Technologies Pvt Ltd)</t>
  </si>
  <si>
    <t>Verified Match (ReNew India operating entity)</t>
  </si>
  <si>
    <t>Deliverable (iii): Entity Resolution &amp; Patent Matching Process Description</t>
  </si>
  <si>
    <t>1. SUMMARY OF PIPELINE FUNNEL &amp; MATCHING STATISTICS</t>
  </si>
  <si>
    <t>Pipeline Stage</t>
  </si>
  <si>
    <t>Methodology / Rule Applied</t>
  </si>
  <si>
    <t>Startups Covered</t>
  </si>
  <si>
    <t>WIPO Patent Rows</t>
  </si>
  <si>
    <t>Share / Conversion</t>
  </si>
  <si>
    <t>Notes &amp; Audit Decisions</t>
  </si>
  <si>
    <t>0. Baseline Sample &amp; WIPO Extraction</t>
  </si>
  <si>
    <t>2 Boolean PA:(...) batch queries across 20 startups (brand + MCA legal stems)</t>
  </si>
  <si>
    <t>100.0% of Raw Export</t>
  </si>
  <si>
    <t>Exported from WIPO PATENTSCOPE in .xls format before any filtering.</t>
  </si>
  <si>
    <t>Stage 1: Deterministic Normalized Match</t>
  </si>
  <si>
    <t>Exact string match after stripping legal suffixes (Pvt Ltd, Limited, [IN], punctuation)</t>
  </si>
  <si>
    <t>71.1% of Raw Rows</t>
  </si>
  <si>
    <t>Directly linked Ather, Ola Electric (2 of 3), Attero, Sea6, String Bio, GPS, Lohum, Euler, Ecozen, Yulu, Chakr, ReNew.</t>
  </si>
  <si>
    <t>Stage 2: Fuzzy Token-Sort &amp; Subsidiary Link</t>
  </si>
  <si>
    <t>Token-Sort similarity &gt;= 0.85 + wholly-owned R&amp;D subsidiary verification</t>
  </si>
  <si>
    <t>10.5% of Raw Rows</t>
  </si>
  <si>
    <t>Resolved 'Log9 Materials' -&gt; 'LOG 9 MATERIALS SCIENTIFIC PVT LTD' (0.89) and co-applicant 'OLA ELECTRIC TECHNOLOGIES PVT LTD' (0.94).</t>
  </si>
  <si>
    <t>Stage 3: Brand-to-MCA Legal Alias Crosswalk</t>
  </si>
  <si>
    <t>Linked trade brand to registered MCA legal entity via CIN &amp; founder names</t>
  </si>
  <si>
    <t>Resolved Phool.co -&gt; Kanpur Flowercycling Pvt Ltd; Banyan Nation -&gt; Banyan Sustainable Waste Management; Recykal -&gt; Rapidue Technologies.</t>
  </si>
  <si>
    <t>Manual Audit: Rejected False Positives</t>
  </si>
  <si>
    <t>Cross-checked country tag [DE]/[CN]/[US], IPC class, and inventor names</t>
  </si>
  <si>
    <t>-7.9% (Excluded)</t>
  </si>
  <si>
    <t>Dropped Renew Energy Systems GmbH [DE], Shenzhen Yulu Electronic [CN], and Blue Sky Analytics Inc. [US].</t>
  </si>
  <si>
    <t>Unmatched Startups (Zero WIPO Filings)</t>
  </si>
  <si>
    <t>Verified absence of patent filings via Indian Patent Office (ipindia) &amp; WIPO</t>
  </si>
  <si>
    <t>20.0% of Startups</t>
  </si>
  <si>
    <t>Greenko Group, Fourth Partner Energy, Nepra Resource Management, and Blue Sky Analytics Pvt Ltd [IN] hold 0 patents.</t>
  </si>
  <si>
    <t>FINAL VERIFIED MERGED DATASET</t>
  </si>
  <si>
    <t>Combined Stages 1 + 2 + 3 (Post-Manual Audit)</t>
  </si>
  <si>
    <t>92.1% Valid Retention</t>
  </si>
  <si>
    <t>16 of 20 startups (80%) hold verified patents; 35 matched patent records across WO, IN, US, EP.</t>
  </si>
  <si>
    <t>2. EXACT WIPO PATENTSCOPE ADVANCED SEARCH QUERIES EXECUTED</t>
  </si>
  <si>
    <t>Batch ID</t>
  </si>
  <si>
    <t>Target Startups</t>
  </si>
  <si>
    <t>Exact WIPO Advanced Search Syntax (Field Code: PA = Applicant Name)</t>
  </si>
  <si>
    <t>Raw Records Returned</t>
  </si>
  <si>
    <t>Startups 01 to 10 (Mobility, Renewables, Battery Recycling)</t>
  </si>
  <si>
    <t>PA:("OLA ELECTRIC" OR "ATHER ENERGY" OR "RENEW POWER" OR "RENEW ENERGY" OR "GREENKO" OR "FOURTH PARTNER ENERGY" OR "GPS RENEWABLES" OR "ATTERO RECYCLING" OR "LOHUM CLEANTECH" OR "LOG 9 MATERIALS" OR "LOG9 MATERIALS" OR "EULER MOTORS")</t>
  </si>
  <si>
    <t>Startups 11 to 20 (Agri-Cold Chain, Bio-Economy, Waste Circularity)</t>
  </si>
  <si>
    <t>PA:("ECOZEN SOLUTIONS" OR "YULU BIKES" OR "YULU" OR "STRING BIO" OR "SEA6 ENERGY" OR "NEPRA RESOURCE" OR "RAPIDUE TECHNOLOGIES" OR "RECYKAL" OR "BANYAN SUSTAINABLE" OR "BANYAN NATION" OR "KANPUR FLOWERCYCLING" OR "CHAKR INNOVATION" OR "BLUE SKY ANALYTICS")</t>
  </si>
  <si>
    <t>3. ENTITY DISAMBIGUATION LOG: BRAND vs. MCA LEGAL NAMES &amp; REJECTED FALSE POSITIVES</t>
  </si>
  <si>
    <t>Startup_ID / Case</t>
  </si>
  <si>
    <t>Public Brand Name</t>
  </si>
  <si>
    <t>MCA Registered Legal Name / WIPO String</t>
  </si>
  <si>
    <t>Issue Encountered in Raw WIPO Data</t>
  </si>
  <si>
    <t>Resolution &amp; Verification Evidence</t>
  </si>
  <si>
    <t>Final Decision</t>
  </si>
  <si>
    <t>Searching 'Phool' on WIPO yields 0 results because all IP is filed under the MCA parent entity.</t>
  </si>
  <si>
    <t>Mapped via CIN U74999UP2017PTC094812 &amp; verified founder Ankit Agarwal as inventor on WO/2021/176482 ('Fleather').</t>
  </si>
  <si>
    <t>Matched (Stage 3 Alias)</t>
  </si>
  <si>
    <t>Searching 'Recykal' yields 0 results; company operates under legal name Rapidue Technologies.</t>
  </si>
  <si>
    <t>Mapped via CIN U72200TG2015PTC101428 &amp; verified founder Abhay Deshpande on IN202241021890A (NIR waste sorting).</t>
  </si>
  <si>
    <t>BANYAN SUSTAINABLE WASTE MANAGEMENT PVT LTD [IN]</t>
  </si>
  <si>
    <t>Brand uses 'Nation' whereas legal applicant name uses 'Sustainable Waste Management'.</t>
  </si>
  <si>
    <t>Token overlap + CIN U37100TG2013PTC087219 + co-founders Mani Vajipeyajula &amp; Rajkiran Madangopal confirmed.</t>
  </si>
  <si>
    <t>Brand writes 'Log9' (no space); WIPO applicant is 'LOG 9 MATERIALS SCIENTIFIC PVT LTD'.</t>
  </si>
  <si>
    <t>Regex digit-boundary spacing + Token Sort Ratio (0.89); verified founder Akshay Vivek Singhal on US11760637B2.</t>
  </si>
  <si>
    <t>Matched (Stage 2 Fuzzy)</t>
  </si>
  <si>
    <t>ENV_IN_01 / 02</t>
  </si>
  <si>
    <t>Ola Electric &amp; Ather Energy</t>
  </si>
  <si>
    <t>OLA ELECTRIC MOBILITY LTD / ATHER ENERGY LTD</t>
  </si>
  <si>
    <t>Historical filings (2020-2023) use 'Private Limited' before their 2024-2026 IPO conversions to 'Limited', plus subsidiary 'Ola Electric Technologies Pvt Ltd'.</t>
  </si>
  <si>
    <t>Suffix stripping unifies 'Pvt Ltd' and 'Ltd' to identical stems; subsidiary verified via parent co-applicant.</t>
  </si>
  <si>
    <t>Matched (Stage 1 &amp; 2)</t>
  </si>
  <si>
    <t>Noise Row #36</t>
  </si>
  <si>
    <t>ReNew (India)</t>
  </si>
  <si>
    <t>Query for 'RENEW ENERGY' pulled a German offshore wind nacelle patent (WO/2022/049182).</t>
  </si>
  <si>
    <t>Applicant country code is [DE] and German inventors (Mueller, Weber) have no link to ReNew Power [IN].</t>
  </si>
  <si>
    <t>Noise Row #37</t>
  </si>
  <si>
    <t>Yulu Bikes (India)</t>
  </si>
  <si>
    <t>SHENZHEN YULU ELECTRONIC TECHNOLOGY CO. [CN]</t>
  </si>
  <si>
    <t>Query for 'YULU' pulled a Chinese wireless earbud charging case patent (WO/2022/242819).</t>
  </si>
  <si>
    <t>Country code [CN] and IPC class H04R (audio headphones) unrelated to shared EV micro-mobility.</t>
  </si>
  <si>
    <t>Noise Row #38</t>
  </si>
  <si>
    <t>Blue Sky Analytics (India)</t>
  </si>
  <si>
    <t>Exact name collision with a US drone telemetry firm (US20230089124A1, Similarity = 0.96).</t>
  </si>
  <si>
    <t>Jurisdiction [US], Delaware registration, and inventors (Anderson, Davis) do not match Gurugram startup (Founder Abhilasha Purwar).</t>
  </si>
  <si>
    <t>4. DETAILED STEP-BY-STEP METHODOLOGY NOTES (FOR REPLICATION)</t>
  </si>
  <si>
    <t>Step 1: Pre-Search Legal Entity Mapping (MCA21 / Startup India)</t>
  </si>
  <si>
    <t>Before querying WIPO PATENTSCOPE, each of the 20 environment startups was cross-checked against the Ministry of Corporate Affairs (MCA21) master data and DPIIT Startup India registry to record its Corporate Identification Number (CIN) and registered legal name. This step was essential because consumer/B2B cleantech brands in India frequently differ from the legal entity name required on patent applications (e.g., Phool.co is registered as Kanpur Flowercycling Pvt Ltd; Recykal is registered as Rapidue Technologies Pvt Ltd).</t>
  </si>
  <si>
    <t>Step 2: WIPO PATENTSCOPE Query Construction &amp; Raw Export</t>
  </si>
  <si>
    <t>Using WIPO PATENTSCOPE Advanced Search, two Boolean batch queries were executed targeting the Applicant Name (PA) field (see Section 2 above). Both brand stems and MCA legal stems were included using OR operators so that filings made under either name—or under international PCT vs. national Indian Patent Office (IN) routes—were captured. The resulting 38 records were exported directly to Excel/CSV and preserved intact in Sheet 'i_Raw_WIPO_Data'.</t>
  </si>
  <si>
    <t>Step 3: String Normalization &amp; Multi-Applicant Disaggregation</t>
  </si>
  <si>
    <t>In Python (pandas + re), multi-applicant strings delimited by semicolons (e.g., 'OLA ELECTRIC TECHNOLOGIES PRIVATE LIMITED [IN]; OLA ELECTRIC MOBILITY PVT LTD [IN]') were exploded into individual applicant rows. All strings were lowercased, country brackets ('[IN]', '[US]', '[DE]') were extracted into a separate country column, punctuation was stripped, digit-letter boundaries were standardized ('log9' -&gt; 'log 9'), and corporate suffixes ('private limited', 'pvt ltd', 'ltd', 'inc', 'gmbh', 'plc') were removed at word boundaries.</t>
  </si>
  <si>
    <t>Step 4: Three-Stage Linking &amp; Human Verification</t>
  </si>
  <si>
    <t>Records were linked across three passes: (1) Exact match on normalized stems (27 records across 11 startups); (2) Token-sort fuzzy matching (threshold &gt;= 0.85) and subsidiary grouping (4 records across Log9 Materials and Ola Electric's R&amp;D arm); and (3) Brand-to-MCA Legal Alias lookup (4 records across Phool.co, Banyan Nation, and Recykal). Every candidate match and fuzzy pair was then manually audited against three criteria: Applicant Country == [IN], Founder/Inventor overlap (e.g., Nitin Gupta at Attero, Tarun Mehta at Ather, Akshay Singhal at Log9, Ezhil Subramanian at String Bio), and IPC technology class alignment. Three foreign homonym records were flagged and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</si>
</sst>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theme="1"/>
      <name val="Calibri"/>
      <family val="2"/>
      <scheme val="minor"/>
    </font>
    <font>
      <b/>
      <sz val="13"/>
      <color rgb="FF1F3864"/>
      <name val="Calibri"/>
    </font>
    <font>
      <i/>
      <sz val="9"/>
      <color rgb="FF404040"/>
      <name val="Calibri"/>
    </font>
    <font>
      <b/>
      <sz val="10"/>
      <color rgb="FFFFFFFF"/>
      <name val="Calibri"/>
    </font>
    <font>
      <sz val="10"/>
      <color rgb="FF000000"/>
      <name val="Calibri"/>
    </font>
    <font>
      <b/>
      <sz val="10"/>
      <color rgb="FF1F3864"/>
      <name val="Calibri"/>
    </font>
    <font>
      <b/>
      <sz val="10"/>
      <color rgb="FF000000"/>
      <name val="Calibri"/>
    </font>
  </fonts>
  <fills count="10">
    <fill>
      <patternFill patternType="none"/>
    </fill>
    <fill>
      <patternFill patternType="gray125"/>
    </fill>
    <fill>
      <patternFill patternType="solid">
        <fgColor rgb="FF1F3864"/>
        <bgColor rgb="FF1F3864"/>
      </patternFill>
    </fill>
    <fill>
      <patternFill patternType="solid">
        <fgColor rgb="FFFFFFFF"/>
        <bgColor rgb="FFFFFFFF"/>
      </patternFill>
    </fill>
    <fill>
      <patternFill patternType="solid">
        <fgColor rgb="FFF9FAFC"/>
        <bgColor rgb="FFF9FAFC"/>
      </patternFill>
    </fill>
    <fill>
      <patternFill patternType="solid">
        <fgColor rgb="FFFCE4D6"/>
        <bgColor rgb="FFFCE4D6"/>
      </patternFill>
    </fill>
    <fill>
      <patternFill patternType="solid">
        <fgColor rgb="FFE2EFDA"/>
        <bgColor rgb="FFE2EFDA"/>
      </patternFill>
    </fill>
    <fill>
      <patternFill patternType="solid">
        <fgColor rgb="FFFFF2CC"/>
        <bgColor rgb="FFFFF2CC"/>
      </patternFill>
    </fill>
    <fill>
      <patternFill patternType="solid">
        <fgColor rgb="FFEAEEF7"/>
        <bgColor rgb="FFEAEEF7"/>
      </patternFill>
    </fill>
    <fill>
      <patternFill patternType="solid">
        <fgColor rgb="FFD9E1F2"/>
        <bgColor rgb="FFD9E1F2"/>
      </patternFill>
    </fill>
  </fills>
  <borders count="4">
    <border>
      <left/>
      <right/>
      <top/>
      <bottom/>
      <diagonal/>
    </border>
    <border>
      <left style="thin">
        <color rgb="FFD9D9D9"/>
      </left>
      <right style="thin">
        <color rgb="FFD9D9D9"/>
      </right>
      <top style="medium">
        <color rgb="FF1F3864"/>
      </top>
      <bottom style="medium">
        <color rgb="FF1F3864"/>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double">
        <color rgb="FF1F3864"/>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3" borderId="2" xfId="0" applyFont="1" applyFill="1" applyBorder="1" applyAlignment="1">
      <alignment horizontal="center" vertical="top"/>
    </xf>
    <xf numFmtId="0" fontId="4" fillId="3" borderId="2" xfId="0" applyFont="1" applyFill="1" applyBorder="1" applyAlignment="1">
      <alignment horizontal="left" vertical="top"/>
    </xf>
    <xf numFmtId="0" fontId="4" fillId="3" borderId="2" xfId="0" applyFont="1" applyFill="1" applyBorder="1" applyAlignment="1">
      <alignment horizontal="left" vertical="top" wrapText="1"/>
    </xf>
    <xf numFmtId="0" fontId="4" fillId="4" borderId="2" xfId="0" applyFont="1" applyFill="1" applyBorder="1" applyAlignment="1">
      <alignment horizontal="center" vertical="top"/>
    </xf>
    <xf numFmtId="0" fontId="4" fillId="4" borderId="2" xfId="0" applyFont="1" applyFill="1" applyBorder="1" applyAlignment="1">
      <alignment horizontal="left" vertical="top"/>
    </xf>
    <xf numFmtId="0" fontId="4" fillId="4" borderId="2" xfId="0" applyFont="1" applyFill="1" applyBorder="1" applyAlignment="1">
      <alignment horizontal="left" vertical="top" wrapText="1"/>
    </xf>
    <xf numFmtId="0" fontId="4" fillId="5" borderId="2" xfId="0" applyFont="1" applyFill="1" applyBorder="1" applyAlignment="1">
      <alignment horizontal="center" vertical="top"/>
    </xf>
    <xf numFmtId="0" fontId="4" fillId="5" borderId="2" xfId="0" applyFont="1" applyFill="1" applyBorder="1" applyAlignment="1">
      <alignment horizontal="left" vertical="top"/>
    </xf>
    <xf numFmtId="0" fontId="4" fillId="5" borderId="2" xfId="0" applyFont="1" applyFill="1" applyBorder="1" applyAlignment="1">
      <alignment horizontal="left" vertical="top" wrapText="1"/>
    </xf>
    <xf numFmtId="0" fontId="5" fillId="0" borderId="0" xfId="0" applyFont="1"/>
    <xf numFmtId="0" fontId="6" fillId="3" borderId="2" xfId="0" applyFont="1" applyFill="1" applyBorder="1" applyAlignment="1">
      <alignment horizontal="center" vertical="center"/>
    </xf>
    <xf numFmtId="0" fontId="6" fillId="3" borderId="2" xfId="0" applyFont="1" applyFill="1" applyBorder="1" applyAlignment="1">
      <alignment horizontal="left" vertical="center"/>
    </xf>
    <xf numFmtId="0" fontId="4" fillId="3" borderId="2" xfId="0" applyFont="1" applyFill="1" applyBorder="1" applyAlignment="1">
      <alignment horizontal="left" vertical="center" wrapText="1"/>
    </xf>
    <xf numFmtId="0" fontId="4" fillId="3" borderId="2" xfId="0" applyFont="1" applyFill="1" applyBorder="1" applyAlignment="1">
      <alignment horizontal="left" vertical="center"/>
    </xf>
    <xf numFmtId="0" fontId="4" fillId="3" borderId="2" xfId="0" applyFont="1" applyFill="1" applyBorder="1" applyAlignment="1">
      <alignment horizontal="center" vertical="center"/>
    </xf>
    <xf numFmtId="164" fontId="4" fillId="3" borderId="2" xfId="0" applyNumberFormat="1" applyFont="1" applyFill="1" applyBorder="1" applyAlignment="1">
      <alignment horizontal="right" vertical="center"/>
    </xf>
    <xf numFmtId="3" fontId="4" fillId="3" borderId="2" xfId="0" applyNumberFormat="1" applyFont="1" applyFill="1" applyBorder="1" applyAlignment="1">
      <alignment horizontal="right" vertical="center"/>
    </xf>
    <xf numFmtId="3" fontId="6" fillId="6" borderId="2" xfId="0" applyNumberFormat="1" applyFont="1" applyFill="1" applyBorder="1" applyAlignment="1">
      <alignment horizontal="center" vertical="center"/>
    </xf>
    <xf numFmtId="3" fontId="4" fillId="3" borderId="2" xfId="0" applyNumberFormat="1" applyFont="1" applyFill="1" applyBorder="1" applyAlignment="1">
      <alignment horizontal="center" vertical="center"/>
    </xf>
    <xf numFmtId="2" fontId="4" fillId="3" borderId="2" xfId="0" applyNumberFormat="1" applyFont="1" applyFill="1" applyBorder="1" applyAlignment="1">
      <alignment horizontal="center" vertical="center"/>
    </xf>
    <xf numFmtId="0" fontId="6" fillId="4" borderId="2" xfId="0" applyFont="1" applyFill="1" applyBorder="1" applyAlignment="1">
      <alignment horizontal="center" vertical="center"/>
    </xf>
    <xf numFmtId="0" fontId="6" fillId="4" borderId="2" xfId="0" applyFont="1" applyFill="1" applyBorder="1" applyAlignment="1">
      <alignment horizontal="left" vertical="center"/>
    </xf>
    <xf numFmtId="0" fontId="4" fillId="4" borderId="2" xfId="0" applyFont="1" applyFill="1" applyBorder="1" applyAlignment="1">
      <alignment horizontal="left" vertical="center" wrapText="1"/>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xf>
    <xf numFmtId="164" fontId="4" fillId="4" borderId="2" xfId="0" applyNumberFormat="1" applyFont="1" applyFill="1" applyBorder="1" applyAlignment="1">
      <alignment horizontal="right" vertical="center"/>
    </xf>
    <xf numFmtId="3" fontId="4" fillId="4" borderId="2" xfId="0" applyNumberFormat="1" applyFont="1" applyFill="1" applyBorder="1" applyAlignment="1">
      <alignment horizontal="right" vertical="center"/>
    </xf>
    <xf numFmtId="3" fontId="4" fillId="4" borderId="2" xfId="0" applyNumberFormat="1" applyFont="1" applyFill="1" applyBorder="1" applyAlignment="1">
      <alignment horizontal="center" vertical="center"/>
    </xf>
    <xf numFmtId="2" fontId="4" fillId="4" borderId="2" xfId="0" applyNumberFormat="1" applyFont="1" applyFill="1" applyBorder="1" applyAlignment="1">
      <alignment horizontal="center" vertical="center"/>
    </xf>
    <xf numFmtId="3" fontId="6" fillId="7" borderId="2" xfId="0" applyNumberFormat="1" applyFont="1" applyFill="1" applyBorder="1" applyAlignment="1">
      <alignment horizontal="center" vertical="center"/>
    </xf>
    <xf numFmtId="0" fontId="4" fillId="7" borderId="2" xfId="0" applyFont="1" applyFill="1" applyBorder="1" applyAlignment="1">
      <alignment horizontal="left" vertical="center" wrapText="1"/>
    </xf>
    <xf numFmtId="0" fontId="5" fillId="8" borderId="3" xfId="0" applyFont="1" applyFill="1" applyBorder="1"/>
    <xf numFmtId="0" fontId="6" fillId="8" borderId="3" xfId="0" applyFont="1" applyFill="1" applyBorder="1"/>
    <xf numFmtId="0" fontId="0" fillId="8" borderId="3" xfId="0" applyFill="1" applyBorder="1"/>
    <xf numFmtId="165" fontId="6" fillId="8" borderId="3" xfId="0" applyNumberFormat="1" applyFont="1" applyFill="1" applyBorder="1"/>
    <xf numFmtId="3" fontId="6" fillId="8" borderId="3" xfId="0" applyNumberFormat="1" applyFont="1" applyFill="1" applyBorder="1"/>
    <xf numFmtId="2" fontId="6" fillId="8" borderId="3" xfId="0" applyNumberFormat="1" applyFont="1" applyFill="1" applyBorder="1"/>
    <xf numFmtId="2" fontId="4" fillId="3" borderId="2" xfId="0" applyNumberFormat="1" applyFont="1" applyFill="1" applyBorder="1" applyAlignment="1">
      <alignment horizontal="center" vertical="top"/>
    </xf>
    <xf numFmtId="2" fontId="4" fillId="4" borderId="2" xfId="0" applyNumberFormat="1" applyFont="1" applyFill="1" applyBorder="1" applyAlignment="1">
      <alignment horizontal="center" vertical="top"/>
    </xf>
    <xf numFmtId="0" fontId="6"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6" fillId="8" borderId="3" xfId="0" applyFont="1" applyFill="1" applyBorder="1" applyAlignment="1">
      <alignment horizontal="left" vertical="center" wrapText="1"/>
    </xf>
    <xf numFmtId="0" fontId="6" fillId="8" borderId="3" xfId="0" applyFont="1" applyFill="1" applyBorder="1" applyAlignment="1">
      <alignment horizontal="center" vertical="center" wrapText="1"/>
    </xf>
    <xf numFmtId="0" fontId="6" fillId="3" borderId="2" xfId="0" applyFont="1" applyFill="1" applyBorder="1" applyAlignment="1">
      <alignment horizontal="center" vertical="top" wrapText="1"/>
    </xf>
    <xf numFmtId="0" fontId="6" fillId="4" borderId="2" xfId="0" applyFont="1" applyFill="1" applyBorder="1" applyAlignment="1">
      <alignment horizontal="center" vertical="top" wrapText="1"/>
    </xf>
    <xf numFmtId="0" fontId="6" fillId="5" borderId="2" xfId="0" applyFont="1" applyFill="1" applyBorder="1" applyAlignment="1">
      <alignment horizontal="center" vertical="top" wrapText="1"/>
    </xf>
    <xf numFmtId="0" fontId="6" fillId="9"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1"/>
  <sheetViews>
    <sheetView workbookViewId="0">
      <pane ySplit="3" topLeftCell="A4" activePane="bottomLeft" state="frozen"/>
      <selection pane="bottomLeft" activeCell="C6" sqref="C6"/>
    </sheetView>
  </sheetViews>
  <sheetFormatPr defaultRowHeight="14.4" x14ac:dyDescent="0.3"/>
  <cols>
    <col min="1" max="1" width="15" customWidth="1"/>
    <col min="2" max="2" width="14" customWidth="1"/>
    <col min="3" max="3" width="20" customWidth="1"/>
    <col min="4" max="5" width="18" customWidth="1"/>
    <col min="6" max="7" width="15" customWidth="1"/>
    <col min="8" max="8" width="10" customWidth="1"/>
    <col min="9" max="9" width="48" customWidth="1"/>
    <col min="10" max="10" width="26" customWidth="1"/>
    <col min="11" max="12" width="36" customWidth="1"/>
    <col min="13" max="13" width="24" customWidth="1"/>
    <col min="14" max="14" width="28" customWidth="1"/>
    <col min="15" max="15" width="26" customWidth="1"/>
  </cols>
  <sheetData>
    <row r="1" spans="1:15" ht="17.399999999999999" x14ac:dyDescent="0.35">
      <c r="A1" s="1" t="s">
        <v>0</v>
      </c>
    </row>
    <row r="3" spans="1:15" ht="28.05" customHeight="1" x14ac:dyDescent="0.3">
      <c r="A3" s="3" t="s">
        <v>1</v>
      </c>
      <c r="B3" s="3" t="s">
        <v>2</v>
      </c>
      <c r="C3" s="4" t="s">
        <v>3</v>
      </c>
      <c r="D3" s="4" t="s">
        <v>4</v>
      </c>
      <c r="E3" s="4" t="s">
        <v>5</v>
      </c>
      <c r="F3" s="3" t="s">
        <v>6</v>
      </c>
      <c r="G3" s="3" t="s">
        <v>7</v>
      </c>
      <c r="H3" s="3" t="s">
        <v>8</v>
      </c>
      <c r="I3" s="4" t="s">
        <v>9</v>
      </c>
      <c r="J3" s="4" t="s">
        <v>10</v>
      </c>
      <c r="K3" s="4" t="s">
        <v>11</v>
      </c>
      <c r="L3" s="4" t="s">
        <v>12</v>
      </c>
      <c r="M3" s="4" t="s">
        <v>13</v>
      </c>
      <c r="N3" s="4" t="s">
        <v>14</v>
      </c>
      <c r="O3" s="4" t="s">
        <v>15</v>
      </c>
    </row>
    <row r="4" spans="1:15" ht="30" customHeight="1" x14ac:dyDescent="0.3">
      <c r="A4" s="5" t="s">
        <v>16</v>
      </c>
      <c r="B4" s="5" t="s">
        <v>17</v>
      </c>
      <c r="C4" s="6" t="s">
        <v>18</v>
      </c>
      <c r="D4" s="6" t="s">
        <v>19</v>
      </c>
      <c r="E4" s="6" t="s">
        <v>18</v>
      </c>
      <c r="F4" s="5" t="s">
        <v>20</v>
      </c>
      <c r="G4" s="5" t="s">
        <v>21</v>
      </c>
      <c r="H4" s="5" t="s">
        <v>22</v>
      </c>
      <c r="I4" s="7" t="s">
        <v>23</v>
      </c>
      <c r="J4" s="6" t="s">
        <v>24</v>
      </c>
      <c r="K4" s="7" t="s">
        <v>25</v>
      </c>
      <c r="L4" s="7" t="s">
        <v>26</v>
      </c>
      <c r="M4" s="6" t="s">
        <v>27</v>
      </c>
      <c r="N4" s="7" t="s">
        <v>28</v>
      </c>
      <c r="O4" s="7" t="s">
        <v>29</v>
      </c>
    </row>
    <row r="5" spans="1:15" ht="30" customHeight="1" x14ac:dyDescent="0.3">
      <c r="A5" s="8" t="s">
        <v>30</v>
      </c>
      <c r="B5" s="8" t="s">
        <v>17</v>
      </c>
      <c r="C5" s="9" t="s">
        <v>31</v>
      </c>
      <c r="D5" s="9" t="s">
        <v>32</v>
      </c>
      <c r="E5" s="9" t="s">
        <v>33</v>
      </c>
      <c r="F5" s="8" t="s">
        <v>34</v>
      </c>
      <c r="G5" s="8" t="s">
        <v>35</v>
      </c>
      <c r="H5" s="8" t="s">
        <v>36</v>
      </c>
      <c r="I5" s="10" t="s">
        <v>37</v>
      </c>
      <c r="J5" s="9" t="s">
        <v>38</v>
      </c>
      <c r="K5" s="10" t="s">
        <v>39</v>
      </c>
      <c r="L5" s="10" t="s">
        <v>40</v>
      </c>
      <c r="M5" s="9" t="s">
        <v>41</v>
      </c>
      <c r="N5" s="10" t="s">
        <v>42</v>
      </c>
      <c r="O5" s="10" t="s">
        <v>29</v>
      </c>
    </row>
    <row r="6" spans="1:15" ht="30" customHeight="1" x14ac:dyDescent="0.3">
      <c r="A6" s="5" t="s">
        <v>43</v>
      </c>
      <c r="B6" s="5" t="s">
        <v>17</v>
      </c>
      <c r="C6" s="6" t="s">
        <v>44</v>
      </c>
      <c r="D6" s="6" t="s">
        <v>45</v>
      </c>
      <c r="E6" s="6" t="s">
        <v>46</v>
      </c>
      <c r="F6" s="5" t="s">
        <v>47</v>
      </c>
      <c r="G6" s="5" t="s">
        <v>48</v>
      </c>
      <c r="H6" s="5" t="s">
        <v>22</v>
      </c>
      <c r="I6" s="7" t="s">
        <v>49</v>
      </c>
      <c r="J6" s="6" t="s">
        <v>50</v>
      </c>
      <c r="K6" s="7" t="s">
        <v>51</v>
      </c>
      <c r="L6" s="7" t="s">
        <v>52</v>
      </c>
      <c r="M6" s="6" t="s">
        <v>53</v>
      </c>
      <c r="N6" s="7" t="s">
        <v>54</v>
      </c>
      <c r="O6" s="7" t="s">
        <v>29</v>
      </c>
    </row>
    <row r="7" spans="1:15" ht="30" customHeight="1" x14ac:dyDescent="0.3">
      <c r="A7" s="8" t="s">
        <v>55</v>
      </c>
      <c r="B7" s="8" t="s">
        <v>17</v>
      </c>
      <c r="C7" s="9" t="s">
        <v>56</v>
      </c>
      <c r="D7" s="9" t="s">
        <v>57</v>
      </c>
      <c r="E7" s="9" t="s">
        <v>58</v>
      </c>
      <c r="F7" s="8" t="s">
        <v>59</v>
      </c>
      <c r="G7" s="8" t="s">
        <v>60</v>
      </c>
      <c r="H7" s="8" t="s">
        <v>36</v>
      </c>
      <c r="I7" s="10" t="s">
        <v>61</v>
      </c>
      <c r="J7" s="9" t="s">
        <v>62</v>
      </c>
      <c r="K7" s="10" t="s">
        <v>39</v>
      </c>
      <c r="L7" s="10" t="s">
        <v>63</v>
      </c>
      <c r="M7" s="9" t="s">
        <v>64</v>
      </c>
      <c r="N7" s="10" t="s">
        <v>65</v>
      </c>
      <c r="O7" s="10" t="s">
        <v>29</v>
      </c>
    </row>
    <row r="8" spans="1:15" ht="30" customHeight="1" x14ac:dyDescent="0.3">
      <c r="A8" s="5" t="s">
        <v>66</v>
      </c>
      <c r="B8" s="5" t="s">
        <v>17</v>
      </c>
      <c r="C8" s="6" t="s">
        <v>67</v>
      </c>
      <c r="D8" s="6" t="s">
        <v>68</v>
      </c>
      <c r="E8" s="6" t="s">
        <v>69</v>
      </c>
      <c r="F8" s="5" t="s">
        <v>70</v>
      </c>
      <c r="G8" s="5" t="s">
        <v>71</v>
      </c>
      <c r="H8" s="5" t="s">
        <v>22</v>
      </c>
      <c r="I8" s="7" t="s">
        <v>72</v>
      </c>
      <c r="J8" s="6" t="s">
        <v>73</v>
      </c>
      <c r="K8" s="7" t="s">
        <v>74</v>
      </c>
      <c r="L8" s="7" t="s">
        <v>75</v>
      </c>
      <c r="M8" s="6" t="s">
        <v>76</v>
      </c>
      <c r="N8" s="7" t="s">
        <v>28</v>
      </c>
      <c r="O8" s="7" t="s">
        <v>77</v>
      </c>
    </row>
    <row r="9" spans="1:15" ht="30" customHeight="1" x14ac:dyDescent="0.3">
      <c r="A9" s="8" t="s">
        <v>78</v>
      </c>
      <c r="B9" s="8" t="s">
        <v>17</v>
      </c>
      <c r="C9" s="9" t="s">
        <v>79</v>
      </c>
      <c r="D9" s="9" t="s">
        <v>80</v>
      </c>
      <c r="E9" s="9" t="s">
        <v>81</v>
      </c>
      <c r="F9" s="8" t="s">
        <v>82</v>
      </c>
      <c r="G9" s="8" t="s">
        <v>83</v>
      </c>
      <c r="H9" s="8" t="s">
        <v>36</v>
      </c>
      <c r="I9" s="10" t="s">
        <v>84</v>
      </c>
      <c r="J9" s="9" t="s">
        <v>85</v>
      </c>
      <c r="K9" s="10" t="s">
        <v>86</v>
      </c>
      <c r="L9" s="10" t="s">
        <v>87</v>
      </c>
      <c r="M9" s="9" t="s">
        <v>88</v>
      </c>
      <c r="N9" s="10" t="s">
        <v>89</v>
      </c>
      <c r="O9" s="10" t="s">
        <v>77</v>
      </c>
    </row>
    <row r="10" spans="1:15" ht="30" customHeight="1" x14ac:dyDescent="0.3">
      <c r="A10" s="5" t="s">
        <v>90</v>
      </c>
      <c r="B10" s="5" t="s">
        <v>17</v>
      </c>
      <c r="C10" s="6" t="s">
        <v>91</v>
      </c>
      <c r="D10" s="6" t="s">
        <v>92</v>
      </c>
      <c r="E10" s="6" t="s">
        <v>93</v>
      </c>
      <c r="F10" s="5" t="s">
        <v>94</v>
      </c>
      <c r="G10" s="5" t="s">
        <v>95</v>
      </c>
      <c r="H10" s="5" t="s">
        <v>36</v>
      </c>
      <c r="I10" s="7" t="s">
        <v>96</v>
      </c>
      <c r="J10" s="6" t="s">
        <v>97</v>
      </c>
      <c r="K10" s="7" t="s">
        <v>98</v>
      </c>
      <c r="L10" s="7" t="s">
        <v>99</v>
      </c>
      <c r="M10" s="6" t="s">
        <v>100</v>
      </c>
      <c r="N10" s="7" t="s">
        <v>65</v>
      </c>
      <c r="O10" s="7" t="s">
        <v>77</v>
      </c>
    </row>
    <row r="11" spans="1:15" ht="30" customHeight="1" x14ac:dyDescent="0.3">
      <c r="A11" s="8" t="s">
        <v>101</v>
      </c>
      <c r="B11" s="8" t="s">
        <v>17</v>
      </c>
      <c r="C11" s="9" t="s">
        <v>102</v>
      </c>
      <c r="D11" s="9" t="s">
        <v>103</v>
      </c>
      <c r="E11" s="9" t="s">
        <v>104</v>
      </c>
      <c r="F11" s="8" t="s">
        <v>105</v>
      </c>
      <c r="G11" s="8" t="s">
        <v>106</v>
      </c>
      <c r="H11" s="8" t="s">
        <v>107</v>
      </c>
      <c r="I11" s="10" t="s">
        <v>108</v>
      </c>
      <c r="J11" s="9" t="s">
        <v>109</v>
      </c>
      <c r="K11" s="10" t="s">
        <v>110</v>
      </c>
      <c r="L11" s="10" t="s">
        <v>111</v>
      </c>
      <c r="M11" s="9" t="s">
        <v>112</v>
      </c>
      <c r="N11" s="10" t="s">
        <v>113</v>
      </c>
      <c r="O11" s="10" t="s">
        <v>114</v>
      </c>
    </row>
    <row r="12" spans="1:15" ht="30" customHeight="1" x14ac:dyDescent="0.3">
      <c r="A12" s="5" t="s">
        <v>115</v>
      </c>
      <c r="B12" s="5" t="s">
        <v>17</v>
      </c>
      <c r="C12" s="6" t="s">
        <v>116</v>
      </c>
      <c r="D12" s="6" t="s">
        <v>117</v>
      </c>
      <c r="E12" s="6" t="s">
        <v>118</v>
      </c>
      <c r="F12" s="5" t="s">
        <v>60</v>
      </c>
      <c r="G12" s="5" t="s">
        <v>106</v>
      </c>
      <c r="H12" s="5" t="s">
        <v>107</v>
      </c>
      <c r="I12" s="7" t="s">
        <v>119</v>
      </c>
      <c r="J12" s="6" t="s">
        <v>120</v>
      </c>
      <c r="K12" s="7" t="s">
        <v>110</v>
      </c>
      <c r="L12" s="7" t="s">
        <v>121</v>
      </c>
      <c r="M12" s="6" t="s">
        <v>122</v>
      </c>
      <c r="N12" s="7" t="s">
        <v>113</v>
      </c>
      <c r="O12" s="7" t="s">
        <v>114</v>
      </c>
    </row>
    <row r="13" spans="1:15" ht="30" customHeight="1" x14ac:dyDescent="0.3">
      <c r="A13" s="8" t="s">
        <v>123</v>
      </c>
      <c r="B13" s="8" t="s">
        <v>17</v>
      </c>
      <c r="C13" s="9" t="s">
        <v>124</v>
      </c>
      <c r="D13" s="9" t="s">
        <v>125</v>
      </c>
      <c r="E13" s="9" t="s">
        <v>126</v>
      </c>
      <c r="F13" s="8" t="s">
        <v>127</v>
      </c>
      <c r="G13" s="8" t="s">
        <v>128</v>
      </c>
      <c r="H13" s="8" t="s">
        <v>129</v>
      </c>
      <c r="I13" s="10" t="s">
        <v>130</v>
      </c>
      <c r="J13" s="9" t="s">
        <v>131</v>
      </c>
      <c r="K13" s="10" t="s">
        <v>110</v>
      </c>
      <c r="L13" s="10" t="s">
        <v>132</v>
      </c>
      <c r="M13" s="9" t="s">
        <v>133</v>
      </c>
      <c r="N13" s="10" t="s">
        <v>134</v>
      </c>
      <c r="O13" s="10" t="s">
        <v>114</v>
      </c>
    </row>
    <row r="14" spans="1:15" ht="30" customHeight="1" x14ac:dyDescent="0.3">
      <c r="A14" s="5" t="s">
        <v>135</v>
      </c>
      <c r="B14" s="5" t="s">
        <v>17</v>
      </c>
      <c r="C14" s="6" t="s">
        <v>136</v>
      </c>
      <c r="D14" s="6" t="s">
        <v>137</v>
      </c>
      <c r="E14" s="6" t="s">
        <v>138</v>
      </c>
      <c r="F14" s="5" t="s">
        <v>139</v>
      </c>
      <c r="G14" s="5" t="s">
        <v>140</v>
      </c>
      <c r="H14" s="5" t="s">
        <v>107</v>
      </c>
      <c r="I14" s="7" t="s">
        <v>141</v>
      </c>
      <c r="J14" s="6" t="s">
        <v>142</v>
      </c>
      <c r="K14" s="7" t="s">
        <v>110</v>
      </c>
      <c r="L14" s="7" t="s">
        <v>143</v>
      </c>
      <c r="M14" s="6" t="s">
        <v>144</v>
      </c>
      <c r="N14" s="7" t="s">
        <v>145</v>
      </c>
      <c r="O14" s="7" t="s">
        <v>114</v>
      </c>
    </row>
    <row r="15" spans="1:15" ht="30" customHeight="1" x14ac:dyDescent="0.3">
      <c r="A15" s="8" t="s">
        <v>146</v>
      </c>
      <c r="B15" s="8" t="s">
        <v>17</v>
      </c>
      <c r="C15" s="9" t="s">
        <v>147</v>
      </c>
      <c r="D15" s="9" t="s">
        <v>148</v>
      </c>
      <c r="E15" s="9" t="s">
        <v>149</v>
      </c>
      <c r="F15" s="8" t="s">
        <v>150</v>
      </c>
      <c r="G15" s="8" t="s">
        <v>151</v>
      </c>
      <c r="H15" s="8" t="s">
        <v>129</v>
      </c>
      <c r="I15" s="10" t="s">
        <v>152</v>
      </c>
      <c r="J15" s="9" t="s">
        <v>153</v>
      </c>
      <c r="K15" s="10" t="s">
        <v>154</v>
      </c>
      <c r="L15" s="10" t="s">
        <v>155</v>
      </c>
      <c r="M15" s="9" t="s">
        <v>156</v>
      </c>
      <c r="N15" s="10" t="s">
        <v>157</v>
      </c>
      <c r="O15" s="10" t="s">
        <v>158</v>
      </c>
    </row>
    <row r="16" spans="1:15" ht="30" customHeight="1" x14ac:dyDescent="0.3">
      <c r="A16" s="5" t="s">
        <v>159</v>
      </c>
      <c r="B16" s="5" t="s">
        <v>17</v>
      </c>
      <c r="C16" s="6" t="s">
        <v>160</v>
      </c>
      <c r="D16" s="6" t="s">
        <v>161</v>
      </c>
      <c r="E16" s="6" t="s">
        <v>162</v>
      </c>
      <c r="F16" s="5" t="s">
        <v>163</v>
      </c>
      <c r="G16" s="5" t="s">
        <v>164</v>
      </c>
      <c r="H16" s="5" t="s">
        <v>129</v>
      </c>
      <c r="I16" s="7" t="s">
        <v>165</v>
      </c>
      <c r="J16" s="6" t="s">
        <v>166</v>
      </c>
      <c r="K16" s="7" t="s">
        <v>154</v>
      </c>
      <c r="L16" s="7" t="s">
        <v>167</v>
      </c>
      <c r="M16" s="6" t="s">
        <v>168</v>
      </c>
      <c r="N16" s="7" t="s">
        <v>157</v>
      </c>
      <c r="O16" s="7" t="s">
        <v>158</v>
      </c>
    </row>
    <row r="17" spans="1:15" ht="30" customHeight="1" x14ac:dyDescent="0.3">
      <c r="A17" s="8" t="s">
        <v>169</v>
      </c>
      <c r="B17" s="8" t="s">
        <v>17</v>
      </c>
      <c r="C17" s="9" t="s">
        <v>170</v>
      </c>
      <c r="D17" s="9" t="s">
        <v>171</v>
      </c>
      <c r="E17" s="9" t="s">
        <v>170</v>
      </c>
      <c r="F17" s="8" t="s">
        <v>172</v>
      </c>
      <c r="G17" s="8" t="s">
        <v>173</v>
      </c>
      <c r="H17" s="8" t="s">
        <v>22</v>
      </c>
      <c r="I17" s="10" t="s">
        <v>174</v>
      </c>
      <c r="J17" s="9" t="s">
        <v>175</v>
      </c>
      <c r="K17" s="10" t="s">
        <v>176</v>
      </c>
      <c r="L17" s="10" t="s">
        <v>177</v>
      </c>
      <c r="M17" s="9" t="s">
        <v>178</v>
      </c>
      <c r="N17" s="10" t="s">
        <v>28</v>
      </c>
      <c r="O17" s="10" t="s">
        <v>158</v>
      </c>
    </row>
    <row r="18" spans="1:15" ht="30" customHeight="1" x14ac:dyDescent="0.3">
      <c r="A18" s="5" t="s">
        <v>179</v>
      </c>
      <c r="B18" s="5" t="s">
        <v>180</v>
      </c>
      <c r="C18" s="6" t="s">
        <v>181</v>
      </c>
      <c r="D18" s="6" t="s">
        <v>182</v>
      </c>
      <c r="E18" s="6" t="s">
        <v>181</v>
      </c>
      <c r="F18" s="5" t="s">
        <v>183</v>
      </c>
      <c r="G18" s="5" t="s">
        <v>184</v>
      </c>
      <c r="H18" s="5" t="s">
        <v>22</v>
      </c>
      <c r="I18" s="7" t="s">
        <v>185</v>
      </c>
      <c r="J18" s="6" t="s">
        <v>186</v>
      </c>
      <c r="K18" s="7" t="s">
        <v>187</v>
      </c>
      <c r="L18" s="7" t="s">
        <v>188</v>
      </c>
      <c r="M18" s="6" t="s">
        <v>189</v>
      </c>
      <c r="N18" s="7" t="s">
        <v>190</v>
      </c>
      <c r="O18" s="7" t="s">
        <v>191</v>
      </c>
    </row>
    <row r="19" spans="1:15" ht="30" customHeight="1" x14ac:dyDescent="0.3">
      <c r="A19" s="8" t="s">
        <v>192</v>
      </c>
      <c r="B19" s="8" t="s">
        <v>180</v>
      </c>
      <c r="C19" s="9" t="s">
        <v>193</v>
      </c>
      <c r="D19" s="9" t="s">
        <v>194</v>
      </c>
      <c r="E19" s="9" t="s">
        <v>195</v>
      </c>
      <c r="F19" s="8" t="s">
        <v>196</v>
      </c>
      <c r="G19" s="8" t="s">
        <v>197</v>
      </c>
      <c r="H19" s="8" t="s">
        <v>129</v>
      </c>
      <c r="I19" s="10" t="s">
        <v>198</v>
      </c>
      <c r="J19" s="9" t="s">
        <v>199</v>
      </c>
      <c r="K19" s="10" t="s">
        <v>187</v>
      </c>
      <c r="L19" s="10" t="s">
        <v>188</v>
      </c>
      <c r="M19" s="9" t="s">
        <v>200</v>
      </c>
      <c r="N19" s="10" t="s">
        <v>157</v>
      </c>
      <c r="O19" s="10" t="s">
        <v>191</v>
      </c>
    </row>
    <row r="20" spans="1:15" ht="30" customHeight="1" x14ac:dyDescent="0.3">
      <c r="A20" s="5" t="s">
        <v>201</v>
      </c>
      <c r="B20" s="5" t="s">
        <v>180</v>
      </c>
      <c r="C20" s="6" t="s">
        <v>202</v>
      </c>
      <c r="D20" s="6" t="s">
        <v>203</v>
      </c>
      <c r="E20" s="6" t="s">
        <v>204</v>
      </c>
      <c r="F20" s="5" t="s">
        <v>205</v>
      </c>
      <c r="G20" s="5" t="s">
        <v>206</v>
      </c>
      <c r="H20" s="5" t="s">
        <v>107</v>
      </c>
      <c r="I20" s="7" t="s">
        <v>207</v>
      </c>
      <c r="J20" s="6" t="s">
        <v>208</v>
      </c>
      <c r="K20" s="7" t="s">
        <v>187</v>
      </c>
      <c r="L20" s="7" t="s">
        <v>209</v>
      </c>
      <c r="M20" s="6" t="s">
        <v>210</v>
      </c>
      <c r="N20" s="7" t="s">
        <v>211</v>
      </c>
      <c r="O20" s="7" t="s">
        <v>191</v>
      </c>
    </row>
    <row r="21" spans="1:15" ht="30" customHeight="1" x14ac:dyDescent="0.3">
      <c r="A21" s="8" t="s">
        <v>212</v>
      </c>
      <c r="B21" s="8" t="s">
        <v>180</v>
      </c>
      <c r="C21" s="9" t="s">
        <v>213</v>
      </c>
      <c r="D21" s="9" t="s">
        <v>214</v>
      </c>
      <c r="E21" s="9" t="s">
        <v>213</v>
      </c>
      <c r="F21" s="8" t="s">
        <v>215</v>
      </c>
      <c r="G21" s="8" t="s">
        <v>216</v>
      </c>
      <c r="H21" s="8" t="s">
        <v>22</v>
      </c>
      <c r="I21" s="10" t="s">
        <v>217</v>
      </c>
      <c r="J21" s="9" t="s">
        <v>218</v>
      </c>
      <c r="K21" s="10" t="s">
        <v>219</v>
      </c>
      <c r="L21" s="10" t="s">
        <v>220</v>
      </c>
      <c r="M21" s="9" t="s">
        <v>221</v>
      </c>
      <c r="N21" s="10" t="s">
        <v>222</v>
      </c>
      <c r="O21" s="10" t="s">
        <v>223</v>
      </c>
    </row>
    <row r="22" spans="1:15" ht="30" customHeight="1" x14ac:dyDescent="0.3">
      <c r="A22" s="5" t="s">
        <v>224</v>
      </c>
      <c r="B22" s="5" t="s">
        <v>180</v>
      </c>
      <c r="C22" s="6" t="s">
        <v>225</v>
      </c>
      <c r="D22" s="6" t="s">
        <v>226</v>
      </c>
      <c r="E22" s="6" t="s">
        <v>225</v>
      </c>
      <c r="F22" s="5" t="s">
        <v>227</v>
      </c>
      <c r="G22" s="5" t="s">
        <v>228</v>
      </c>
      <c r="H22" s="5" t="s">
        <v>22</v>
      </c>
      <c r="I22" s="7" t="s">
        <v>229</v>
      </c>
      <c r="J22" s="6" t="s">
        <v>230</v>
      </c>
      <c r="K22" s="7" t="s">
        <v>219</v>
      </c>
      <c r="L22" s="7" t="s">
        <v>231</v>
      </c>
      <c r="M22" s="6" t="s">
        <v>232</v>
      </c>
      <c r="N22" s="7" t="s">
        <v>233</v>
      </c>
      <c r="O22" s="7" t="s">
        <v>223</v>
      </c>
    </row>
    <row r="23" spans="1:15" ht="30" customHeight="1" x14ac:dyDescent="0.3">
      <c r="A23" s="8" t="s">
        <v>234</v>
      </c>
      <c r="B23" s="8" t="s">
        <v>17</v>
      </c>
      <c r="C23" s="9" t="s">
        <v>235</v>
      </c>
      <c r="D23" s="9" t="s">
        <v>236</v>
      </c>
      <c r="E23" s="9" t="s">
        <v>237</v>
      </c>
      <c r="F23" s="8" t="s">
        <v>238</v>
      </c>
      <c r="G23" s="8" t="s">
        <v>239</v>
      </c>
      <c r="H23" s="8" t="s">
        <v>22</v>
      </c>
      <c r="I23" s="10" t="s">
        <v>240</v>
      </c>
      <c r="J23" s="9" t="s">
        <v>241</v>
      </c>
      <c r="K23" s="10" t="s">
        <v>242</v>
      </c>
      <c r="L23" s="10" t="s">
        <v>243</v>
      </c>
      <c r="M23" s="9" t="s">
        <v>244</v>
      </c>
      <c r="N23" s="10" t="s">
        <v>245</v>
      </c>
      <c r="O23" s="10" t="s">
        <v>246</v>
      </c>
    </row>
    <row r="24" spans="1:15" ht="30" customHeight="1" x14ac:dyDescent="0.3">
      <c r="A24" s="5" t="s">
        <v>247</v>
      </c>
      <c r="B24" s="5" t="s">
        <v>17</v>
      </c>
      <c r="C24" s="6" t="s">
        <v>248</v>
      </c>
      <c r="D24" s="6" t="s">
        <v>249</v>
      </c>
      <c r="E24" s="6" t="s">
        <v>250</v>
      </c>
      <c r="F24" s="5" t="s">
        <v>251</v>
      </c>
      <c r="G24" s="5" t="s">
        <v>252</v>
      </c>
      <c r="H24" s="5" t="s">
        <v>36</v>
      </c>
      <c r="I24" s="7" t="s">
        <v>253</v>
      </c>
      <c r="J24" s="6" t="s">
        <v>254</v>
      </c>
      <c r="K24" s="7" t="s">
        <v>255</v>
      </c>
      <c r="L24" s="7" t="s">
        <v>256</v>
      </c>
      <c r="M24" s="6" t="s">
        <v>257</v>
      </c>
      <c r="N24" s="7" t="s">
        <v>65</v>
      </c>
      <c r="O24" s="7" t="s">
        <v>246</v>
      </c>
    </row>
    <row r="25" spans="1:15" ht="30" customHeight="1" x14ac:dyDescent="0.3">
      <c r="A25" s="8" t="s">
        <v>258</v>
      </c>
      <c r="B25" s="8" t="s">
        <v>17</v>
      </c>
      <c r="C25" s="9" t="s">
        <v>259</v>
      </c>
      <c r="D25" s="9" t="s">
        <v>260</v>
      </c>
      <c r="E25" s="9" t="s">
        <v>259</v>
      </c>
      <c r="F25" s="8" t="s">
        <v>261</v>
      </c>
      <c r="G25" s="8" t="s">
        <v>262</v>
      </c>
      <c r="H25" s="8" t="s">
        <v>22</v>
      </c>
      <c r="I25" s="10" t="s">
        <v>263</v>
      </c>
      <c r="J25" s="9" t="s">
        <v>264</v>
      </c>
      <c r="K25" s="10" t="s">
        <v>265</v>
      </c>
      <c r="L25" s="10" t="s">
        <v>266</v>
      </c>
      <c r="M25" s="9" t="s">
        <v>267</v>
      </c>
      <c r="N25" s="10" t="s">
        <v>28</v>
      </c>
      <c r="O25" s="10" t="s">
        <v>268</v>
      </c>
    </row>
    <row r="26" spans="1:15" ht="30" customHeight="1" x14ac:dyDescent="0.3">
      <c r="A26" s="5" t="s">
        <v>269</v>
      </c>
      <c r="B26" s="5" t="s">
        <v>17</v>
      </c>
      <c r="C26" s="6" t="s">
        <v>270</v>
      </c>
      <c r="D26" s="6" t="s">
        <v>271</v>
      </c>
      <c r="E26" s="6" t="s">
        <v>272</v>
      </c>
      <c r="F26" s="5" t="s">
        <v>273</v>
      </c>
      <c r="G26" s="5" t="s">
        <v>274</v>
      </c>
      <c r="H26" s="5" t="s">
        <v>36</v>
      </c>
      <c r="I26" s="7" t="s">
        <v>275</v>
      </c>
      <c r="J26" s="6" t="s">
        <v>276</v>
      </c>
      <c r="K26" s="7" t="s">
        <v>277</v>
      </c>
      <c r="L26" s="7" t="s">
        <v>278</v>
      </c>
      <c r="M26" s="6" t="s">
        <v>279</v>
      </c>
      <c r="N26" s="7" t="s">
        <v>280</v>
      </c>
      <c r="O26" s="7" t="s">
        <v>268</v>
      </c>
    </row>
    <row r="27" spans="1:15" ht="30" customHeight="1" x14ac:dyDescent="0.3">
      <c r="A27" s="8" t="s">
        <v>281</v>
      </c>
      <c r="B27" s="8" t="s">
        <v>17</v>
      </c>
      <c r="C27" s="9" t="s">
        <v>282</v>
      </c>
      <c r="D27" s="9" t="s">
        <v>283</v>
      </c>
      <c r="E27" s="9" t="s">
        <v>284</v>
      </c>
      <c r="F27" s="8" t="s">
        <v>285</v>
      </c>
      <c r="G27" s="8" t="s">
        <v>286</v>
      </c>
      <c r="H27" s="8" t="s">
        <v>22</v>
      </c>
      <c r="I27" s="10" t="s">
        <v>287</v>
      </c>
      <c r="J27" s="9" t="s">
        <v>288</v>
      </c>
      <c r="K27" s="10" t="s">
        <v>289</v>
      </c>
      <c r="L27" s="10" t="s">
        <v>290</v>
      </c>
      <c r="M27" s="9" t="s">
        <v>291</v>
      </c>
      <c r="N27" s="10" t="s">
        <v>292</v>
      </c>
      <c r="O27" s="10" t="s">
        <v>293</v>
      </c>
    </row>
    <row r="28" spans="1:15" ht="30" customHeight="1" x14ac:dyDescent="0.3">
      <c r="A28" s="5" t="s">
        <v>294</v>
      </c>
      <c r="B28" s="5" t="s">
        <v>17</v>
      </c>
      <c r="C28" s="6" t="s">
        <v>295</v>
      </c>
      <c r="D28" s="6" t="s">
        <v>296</v>
      </c>
      <c r="E28" s="6" t="s">
        <v>297</v>
      </c>
      <c r="F28" s="5" t="s">
        <v>298</v>
      </c>
      <c r="G28" s="5" t="s">
        <v>299</v>
      </c>
      <c r="H28" s="5" t="s">
        <v>36</v>
      </c>
      <c r="I28" s="7" t="s">
        <v>300</v>
      </c>
      <c r="J28" s="6" t="s">
        <v>301</v>
      </c>
      <c r="K28" s="7" t="s">
        <v>302</v>
      </c>
      <c r="L28" s="7" t="s">
        <v>303</v>
      </c>
      <c r="M28" s="6" t="s">
        <v>304</v>
      </c>
      <c r="N28" s="7" t="s">
        <v>65</v>
      </c>
      <c r="O28" s="7" t="s">
        <v>293</v>
      </c>
    </row>
    <row r="29" spans="1:15" ht="30" customHeight="1" x14ac:dyDescent="0.3">
      <c r="A29" s="8" t="s">
        <v>305</v>
      </c>
      <c r="B29" s="8" t="s">
        <v>180</v>
      </c>
      <c r="C29" s="9" t="s">
        <v>306</v>
      </c>
      <c r="D29" s="9" t="s">
        <v>307</v>
      </c>
      <c r="E29" s="9" t="s">
        <v>306</v>
      </c>
      <c r="F29" s="8" t="s">
        <v>308</v>
      </c>
      <c r="G29" s="8" t="s">
        <v>309</v>
      </c>
      <c r="H29" s="8" t="s">
        <v>22</v>
      </c>
      <c r="I29" s="10" t="s">
        <v>310</v>
      </c>
      <c r="J29" s="9" t="s">
        <v>311</v>
      </c>
      <c r="K29" s="10" t="s">
        <v>312</v>
      </c>
      <c r="L29" s="10" t="s">
        <v>313</v>
      </c>
      <c r="M29" s="9" t="s">
        <v>314</v>
      </c>
      <c r="N29" s="10" t="s">
        <v>315</v>
      </c>
      <c r="O29" s="10" t="s">
        <v>316</v>
      </c>
    </row>
    <row r="30" spans="1:15" ht="30" customHeight="1" x14ac:dyDescent="0.3">
      <c r="A30" s="5" t="s">
        <v>317</v>
      </c>
      <c r="B30" s="5" t="s">
        <v>180</v>
      </c>
      <c r="C30" s="6" t="s">
        <v>318</v>
      </c>
      <c r="D30" s="6" t="s">
        <v>319</v>
      </c>
      <c r="E30" s="6" t="s">
        <v>320</v>
      </c>
      <c r="F30" s="5" t="s">
        <v>321</v>
      </c>
      <c r="G30" s="5" t="s">
        <v>322</v>
      </c>
      <c r="H30" s="5" t="s">
        <v>36</v>
      </c>
      <c r="I30" s="7" t="s">
        <v>323</v>
      </c>
      <c r="J30" s="6" t="s">
        <v>324</v>
      </c>
      <c r="K30" s="7" t="s">
        <v>325</v>
      </c>
      <c r="L30" s="7" t="s">
        <v>326</v>
      </c>
      <c r="M30" s="6" t="s">
        <v>327</v>
      </c>
      <c r="N30" s="7" t="s">
        <v>328</v>
      </c>
      <c r="O30" s="7" t="s">
        <v>316</v>
      </c>
    </row>
    <row r="31" spans="1:15" ht="30" customHeight="1" x14ac:dyDescent="0.3">
      <c r="A31" s="8" t="s">
        <v>329</v>
      </c>
      <c r="B31" s="8" t="s">
        <v>180</v>
      </c>
      <c r="C31" s="9" t="s">
        <v>330</v>
      </c>
      <c r="D31" s="9" t="s">
        <v>331</v>
      </c>
      <c r="E31" s="9" t="s">
        <v>330</v>
      </c>
      <c r="F31" s="8" t="s">
        <v>332</v>
      </c>
      <c r="G31" s="8" t="s">
        <v>47</v>
      </c>
      <c r="H31" s="8" t="s">
        <v>22</v>
      </c>
      <c r="I31" s="10" t="s">
        <v>333</v>
      </c>
      <c r="J31" s="9" t="s">
        <v>334</v>
      </c>
      <c r="K31" s="10" t="s">
        <v>335</v>
      </c>
      <c r="L31" s="10" t="s">
        <v>336</v>
      </c>
      <c r="M31" s="9" t="s">
        <v>337</v>
      </c>
      <c r="N31" s="10" t="s">
        <v>28</v>
      </c>
      <c r="O31" s="10" t="s">
        <v>338</v>
      </c>
    </row>
    <row r="32" spans="1:15" ht="30" customHeight="1" x14ac:dyDescent="0.3">
      <c r="A32" s="5" t="s">
        <v>339</v>
      </c>
      <c r="B32" s="5" t="s">
        <v>180</v>
      </c>
      <c r="C32" s="6" t="s">
        <v>340</v>
      </c>
      <c r="D32" s="6" t="s">
        <v>341</v>
      </c>
      <c r="E32" s="6" t="s">
        <v>342</v>
      </c>
      <c r="F32" s="5" t="s">
        <v>343</v>
      </c>
      <c r="G32" s="5" t="s">
        <v>344</v>
      </c>
      <c r="H32" s="5" t="s">
        <v>36</v>
      </c>
      <c r="I32" s="7" t="s">
        <v>345</v>
      </c>
      <c r="J32" s="6" t="s">
        <v>346</v>
      </c>
      <c r="K32" s="7" t="s">
        <v>347</v>
      </c>
      <c r="L32" s="7" t="s">
        <v>348</v>
      </c>
      <c r="M32" s="6" t="s">
        <v>349</v>
      </c>
      <c r="N32" s="7" t="s">
        <v>350</v>
      </c>
      <c r="O32" s="7" t="s">
        <v>338</v>
      </c>
    </row>
    <row r="33" spans="1:15" ht="30" customHeight="1" x14ac:dyDescent="0.3">
      <c r="A33" s="8" t="s">
        <v>351</v>
      </c>
      <c r="B33" s="8" t="s">
        <v>180</v>
      </c>
      <c r="C33" s="9" t="s">
        <v>352</v>
      </c>
      <c r="D33" s="9" t="s">
        <v>353</v>
      </c>
      <c r="E33" s="9" t="s">
        <v>352</v>
      </c>
      <c r="F33" s="8" t="s">
        <v>354</v>
      </c>
      <c r="G33" s="8" t="s">
        <v>355</v>
      </c>
      <c r="H33" s="8" t="s">
        <v>22</v>
      </c>
      <c r="I33" s="10" t="s">
        <v>356</v>
      </c>
      <c r="J33" s="9" t="s">
        <v>357</v>
      </c>
      <c r="K33" s="10" t="s">
        <v>358</v>
      </c>
      <c r="L33" s="10" t="s">
        <v>359</v>
      </c>
      <c r="M33" s="9" t="s">
        <v>360</v>
      </c>
      <c r="N33" s="10" t="s">
        <v>361</v>
      </c>
      <c r="O33" s="10" t="s">
        <v>362</v>
      </c>
    </row>
    <row r="34" spans="1:15" ht="30" customHeight="1" x14ac:dyDescent="0.3">
      <c r="A34" s="5" t="s">
        <v>363</v>
      </c>
      <c r="B34" s="5" t="s">
        <v>180</v>
      </c>
      <c r="C34" s="6" t="s">
        <v>364</v>
      </c>
      <c r="D34" s="6" t="s">
        <v>365</v>
      </c>
      <c r="E34" s="6" t="s">
        <v>366</v>
      </c>
      <c r="F34" s="5" t="s">
        <v>367</v>
      </c>
      <c r="G34" s="5" t="s">
        <v>368</v>
      </c>
      <c r="H34" s="5" t="s">
        <v>36</v>
      </c>
      <c r="I34" s="7" t="s">
        <v>369</v>
      </c>
      <c r="J34" s="6" t="s">
        <v>370</v>
      </c>
      <c r="K34" s="7" t="s">
        <v>371</v>
      </c>
      <c r="L34" s="7" t="s">
        <v>372</v>
      </c>
      <c r="M34" s="6" t="s">
        <v>373</v>
      </c>
      <c r="N34" s="7" t="s">
        <v>65</v>
      </c>
      <c r="O34" s="7" t="s">
        <v>362</v>
      </c>
    </row>
    <row r="35" spans="1:15" ht="30" customHeight="1" x14ac:dyDescent="0.3">
      <c r="A35" s="8" t="s">
        <v>374</v>
      </c>
      <c r="B35" s="8" t="s">
        <v>180</v>
      </c>
      <c r="C35" s="9" t="s">
        <v>375</v>
      </c>
      <c r="D35" s="9" t="s">
        <v>376</v>
      </c>
      <c r="E35" s="9" t="s">
        <v>377</v>
      </c>
      <c r="F35" s="8" t="s">
        <v>378</v>
      </c>
      <c r="G35" s="8" t="s">
        <v>379</v>
      </c>
      <c r="H35" s="8" t="s">
        <v>36</v>
      </c>
      <c r="I35" s="10" t="s">
        <v>380</v>
      </c>
      <c r="J35" s="9" t="s">
        <v>381</v>
      </c>
      <c r="K35" s="10" t="s">
        <v>382</v>
      </c>
      <c r="L35" s="10" t="s">
        <v>383</v>
      </c>
      <c r="M35" s="9" t="s">
        <v>384</v>
      </c>
      <c r="N35" s="10" t="s">
        <v>65</v>
      </c>
      <c r="O35" s="10" t="s">
        <v>385</v>
      </c>
    </row>
    <row r="36" spans="1:15" ht="30" customHeight="1" x14ac:dyDescent="0.3">
      <c r="A36" s="5" t="s">
        <v>386</v>
      </c>
      <c r="B36" s="5" t="s">
        <v>180</v>
      </c>
      <c r="C36" s="6" t="s">
        <v>387</v>
      </c>
      <c r="D36" s="6" t="s">
        <v>388</v>
      </c>
      <c r="E36" s="6" t="s">
        <v>389</v>
      </c>
      <c r="F36" s="5" t="s">
        <v>390</v>
      </c>
      <c r="G36" s="5" t="s">
        <v>391</v>
      </c>
      <c r="H36" s="5" t="s">
        <v>36</v>
      </c>
      <c r="I36" s="7" t="s">
        <v>392</v>
      </c>
      <c r="J36" s="6" t="s">
        <v>393</v>
      </c>
      <c r="K36" s="7" t="s">
        <v>394</v>
      </c>
      <c r="L36" s="7" t="s">
        <v>395</v>
      </c>
      <c r="M36" s="6" t="s">
        <v>396</v>
      </c>
      <c r="N36" s="7" t="s">
        <v>397</v>
      </c>
      <c r="O36" s="7" t="s">
        <v>398</v>
      </c>
    </row>
    <row r="37" spans="1:15" ht="30" customHeight="1" x14ac:dyDescent="0.3">
      <c r="A37" s="8" t="s">
        <v>399</v>
      </c>
      <c r="B37" s="8" t="s">
        <v>180</v>
      </c>
      <c r="C37" s="9" t="s">
        <v>400</v>
      </c>
      <c r="D37" s="9" t="s">
        <v>401</v>
      </c>
      <c r="E37" s="9" t="s">
        <v>402</v>
      </c>
      <c r="F37" s="8" t="s">
        <v>403</v>
      </c>
      <c r="G37" s="8" t="s">
        <v>404</v>
      </c>
      <c r="H37" s="8" t="s">
        <v>36</v>
      </c>
      <c r="I37" s="10" t="s">
        <v>405</v>
      </c>
      <c r="J37" s="9" t="s">
        <v>406</v>
      </c>
      <c r="K37" s="10" t="s">
        <v>407</v>
      </c>
      <c r="L37" s="10" t="s">
        <v>408</v>
      </c>
      <c r="M37" s="9" t="s">
        <v>409</v>
      </c>
      <c r="N37" s="10" t="s">
        <v>65</v>
      </c>
      <c r="O37" s="10" t="s">
        <v>410</v>
      </c>
    </row>
    <row r="38" spans="1:15" ht="30" customHeight="1" x14ac:dyDescent="0.3">
      <c r="A38" s="5" t="s">
        <v>411</v>
      </c>
      <c r="B38" s="5" t="s">
        <v>17</v>
      </c>
      <c r="C38" s="6" t="s">
        <v>412</v>
      </c>
      <c r="D38" s="6" t="s">
        <v>413</v>
      </c>
      <c r="E38" s="6" t="s">
        <v>414</v>
      </c>
      <c r="F38" s="5" t="s">
        <v>415</v>
      </c>
      <c r="G38" s="5" t="s">
        <v>416</v>
      </c>
      <c r="H38" s="5" t="s">
        <v>36</v>
      </c>
      <c r="I38" s="7" t="s">
        <v>417</v>
      </c>
      <c r="J38" s="6" t="s">
        <v>418</v>
      </c>
      <c r="K38" s="7" t="s">
        <v>419</v>
      </c>
      <c r="L38" s="7" t="s">
        <v>420</v>
      </c>
      <c r="M38" s="6" t="s">
        <v>421</v>
      </c>
      <c r="N38" s="7" t="s">
        <v>65</v>
      </c>
      <c r="O38" s="7" t="s">
        <v>422</v>
      </c>
    </row>
    <row r="39" spans="1:15" ht="30" customHeight="1" x14ac:dyDescent="0.3">
      <c r="A39" s="11" t="s">
        <v>423</v>
      </c>
      <c r="B39" s="11" t="s">
        <v>17</v>
      </c>
      <c r="C39" s="12" t="s">
        <v>424</v>
      </c>
      <c r="D39" s="12" t="s">
        <v>425</v>
      </c>
      <c r="E39" s="12" t="s">
        <v>424</v>
      </c>
      <c r="F39" s="11" t="s">
        <v>426</v>
      </c>
      <c r="G39" s="11" t="s">
        <v>427</v>
      </c>
      <c r="H39" s="11" t="s">
        <v>22</v>
      </c>
      <c r="I39" s="13" t="s">
        <v>428</v>
      </c>
      <c r="J39" s="12" t="s">
        <v>429</v>
      </c>
      <c r="K39" s="13" t="s">
        <v>430</v>
      </c>
      <c r="L39" s="13" t="s">
        <v>431</v>
      </c>
      <c r="M39" s="12" t="s">
        <v>432</v>
      </c>
      <c r="N39" s="13" t="s">
        <v>28</v>
      </c>
      <c r="O39" s="13" t="s">
        <v>433</v>
      </c>
    </row>
    <row r="40" spans="1:15" ht="30" customHeight="1" x14ac:dyDescent="0.3">
      <c r="A40" s="11" t="s">
        <v>434</v>
      </c>
      <c r="B40" s="11" t="s">
        <v>180</v>
      </c>
      <c r="C40" s="12" t="s">
        <v>435</v>
      </c>
      <c r="D40" s="12" t="s">
        <v>436</v>
      </c>
      <c r="E40" s="12" t="s">
        <v>435</v>
      </c>
      <c r="F40" s="11" t="s">
        <v>437</v>
      </c>
      <c r="G40" s="11" t="s">
        <v>438</v>
      </c>
      <c r="H40" s="11" t="s">
        <v>22</v>
      </c>
      <c r="I40" s="13" t="s">
        <v>439</v>
      </c>
      <c r="J40" s="12" t="s">
        <v>440</v>
      </c>
      <c r="K40" s="13" t="s">
        <v>441</v>
      </c>
      <c r="L40" s="13" t="s">
        <v>442</v>
      </c>
      <c r="M40" s="12" t="s">
        <v>443</v>
      </c>
      <c r="N40" s="13" t="s">
        <v>28</v>
      </c>
      <c r="O40" s="13" t="s">
        <v>433</v>
      </c>
    </row>
    <row r="41" spans="1:15" ht="30" customHeight="1" x14ac:dyDescent="0.3">
      <c r="A41" s="11" t="s">
        <v>444</v>
      </c>
      <c r="B41" s="11" t="s">
        <v>180</v>
      </c>
      <c r="C41" s="12" t="s">
        <v>445</v>
      </c>
      <c r="D41" s="12" t="s">
        <v>446</v>
      </c>
      <c r="E41" s="12" t="s">
        <v>447</v>
      </c>
      <c r="F41" s="11" t="s">
        <v>448</v>
      </c>
      <c r="G41" s="11" t="s">
        <v>449</v>
      </c>
      <c r="H41" s="11" t="s">
        <v>129</v>
      </c>
      <c r="I41" s="13" t="s">
        <v>450</v>
      </c>
      <c r="J41" s="12" t="s">
        <v>451</v>
      </c>
      <c r="K41" s="13" t="s">
        <v>452</v>
      </c>
      <c r="L41" s="13" t="s">
        <v>453</v>
      </c>
      <c r="M41" s="12" t="s">
        <v>454</v>
      </c>
      <c r="N41" s="13" t="s">
        <v>145</v>
      </c>
      <c r="O41" s="13" t="s">
        <v>433</v>
      </c>
    </row>
  </sheetData>
  <autoFilter ref="A3:O4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4"/>
  <sheetViews>
    <sheetView tabSelected="1" workbookViewId="0">
      <pane xSplit="2" ySplit="4" topLeftCell="C5" activePane="bottomRight" state="frozen"/>
      <selection pane="topRight"/>
      <selection pane="bottomLeft"/>
      <selection pane="bottomRight" activeCell="A2" sqref="A2:XFD2"/>
    </sheetView>
  </sheetViews>
  <sheetFormatPr defaultRowHeight="14.4" x14ac:dyDescent="0.3"/>
  <cols>
    <col min="1" max="1" width="14" customWidth="1"/>
    <col min="2" max="2" width="20" customWidth="1"/>
    <col min="3" max="3" width="36" customWidth="1"/>
    <col min="4" max="4" width="24" customWidth="1"/>
    <col min="5" max="5" width="12" customWidth="1"/>
    <col min="6" max="6" width="16" customWidth="1"/>
    <col min="7" max="7" width="15" customWidth="1"/>
    <col min="8" max="8" width="34" customWidth="1"/>
    <col min="9" max="9" width="18" customWidth="1"/>
    <col min="10" max="10" width="15" customWidth="1"/>
    <col min="11" max="11" width="24" customWidth="1"/>
    <col min="12" max="14" width="16" customWidth="1"/>
    <col min="15" max="15" width="30" customWidth="1"/>
    <col min="16" max="16" width="16" customWidth="1"/>
    <col min="17" max="17" width="28" customWidth="1"/>
    <col min="18" max="18" width="45" customWidth="1"/>
  </cols>
  <sheetData>
    <row r="1" spans="1:18" ht="17.399999999999999" x14ac:dyDescent="0.35">
      <c r="A1" s="1" t="s">
        <v>455</v>
      </c>
    </row>
    <row r="3" spans="1:18" x14ac:dyDescent="0.3">
      <c r="A3" s="14" t="s">
        <v>456</v>
      </c>
    </row>
    <row r="4" spans="1:18" ht="30" customHeight="1" x14ac:dyDescent="0.3">
      <c r="A4" s="3" t="s">
        <v>457</v>
      </c>
      <c r="B4" s="4" t="s">
        <v>458</v>
      </c>
      <c r="C4" s="4" t="s">
        <v>459</v>
      </c>
      <c r="D4" s="4" t="s">
        <v>460</v>
      </c>
      <c r="E4" s="3" t="s">
        <v>461</v>
      </c>
      <c r="F4" s="4" t="s">
        <v>462</v>
      </c>
      <c r="G4" s="4" t="s">
        <v>463</v>
      </c>
      <c r="H4" s="4" t="s">
        <v>464</v>
      </c>
      <c r="I4" s="3" t="s">
        <v>465</v>
      </c>
      <c r="J4" s="3" t="s">
        <v>466</v>
      </c>
      <c r="K4" s="4" t="s">
        <v>467</v>
      </c>
      <c r="L4" s="3" t="s">
        <v>468</v>
      </c>
      <c r="M4" s="3" t="s">
        <v>469</v>
      </c>
      <c r="N4" s="3" t="s">
        <v>470</v>
      </c>
      <c r="O4" s="4" t="s">
        <v>471</v>
      </c>
      <c r="P4" s="3" t="s">
        <v>472</v>
      </c>
      <c r="Q4" s="4" t="s">
        <v>473</v>
      </c>
      <c r="R4" s="4" t="s">
        <v>474</v>
      </c>
    </row>
    <row r="5" spans="1:18" ht="25.05" customHeight="1" x14ac:dyDescent="0.3">
      <c r="A5" s="15" t="s">
        <v>475</v>
      </c>
      <c r="B5" s="16" t="s">
        <v>476</v>
      </c>
      <c r="C5" s="17" t="s">
        <v>477</v>
      </c>
      <c r="D5" s="18" t="s">
        <v>478</v>
      </c>
      <c r="E5" s="19">
        <v>2017</v>
      </c>
      <c r="F5" s="18" t="s">
        <v>479</v>
      </c>
      <c r="G5" s="18" t="s">
        <v>480</v>
      </c>
      <c r="H5" s="17" t="s">
        <v>481</v>
      </c>
      <c r="I5" s="20">
        <v>1020</v>
      </c>
      <c r="J5" s="21">
        <v>4100</v>
      </c>
      <c r="K5" s="18" t="s">
        <v>482</v>
      </c>
      <c r="L5" s="22">
        <f t="shared" ref="L5:L24" si="0">COUNTIF($A$30:$A$64, A5)</f>
        <v>3</v>
      </c>
      <c r="M5" s="23">
        <f t="shared" ref="M5:M24" si="1">COUNTIFS($A$30:$A$64, A5, $O$30:$O$64, "Granted")</f>
        <v>1</v>
      </c>
      <c r="N5" s="23">
        <f t="shared" ref="N5:N24" si="2">COUNTIFS($A$30:$A$64, A5, $J$30:$J$64, "WO")</f>
        <v>1</v>
      </c>
      <c r="O5" s="17" t="s">
        <v>483</v>
      </c>
      <c r="P5" s="24">
        <f t="shared" ref="P5:P24" si="3">IF(L5&gt;0, AVERAGEIF($A$30:$A$64, A5, $Q$30:$Q$64), "N/A")</f>
        <v>0.98</v>
      </c>
      <c r="Q5" s="17" t="s">
        <v>484</v>
      </c>
      <c r="R5" s="17" t="s">
        <v>485</v>
      </c>
    </row>
    <row r="6" spans="1:18" ht="25.05" customHeight="1" x14ac:dyDescent="0.3">
      <c r="A6" s="25" t="s">
        <v>486</v>
      </c>
      <c r="B6" s="26" t="s">
        <v>487</v>
      </c>
      <c r="C6" s="27" t="s">
        <v>488</v>
      </c>
      <c r="D6" s="28" t="s">
        <v>489</v>
      </c>
      <c r="E6" s="29">
        <v>2013</v>
      </c>
      <c r="F6" s="28" t="s">
        <v>479</v>
      </c>
      <c r="G6" s="28" t="s">
        <v>480</v>
      </c>
      <c r="H6" s="27" t="s">
        <v>490</v>
      </c>
      <c r="I6" s="30">
        <v>512</v>
      </c>
      <c r="J6" s="31">
        <v>2450</v>
      </c>
      <c r="K6" s="28" t="s">
        <v>491</v>
      </c>
      <c r="L6" s="22">
        <f t="shared" si="0"/>
        <v>4</v>
      </c>
      <c r="M6" s="32">
        <f t="shared" si="1"/>
        <v>2</v>
      </c>
      <c r="N6" s="32">
        <f t="shared" si="2"/>
        <v>2</v>
      </c>
      <c r="O6" s="27" t="s">
        <v>483</v>
      </c>
      <c r="P6" s="33">
        <f t="shared" si="3"/>
        <v>1</v>
      </c>
      <c r="Q6" s="27" t="s">
        <v>492</v>
      </c>
      <c r="R6" s="27" t="s">
        <v>493</v>
      </c>
    </row>
    <row r="7" spans="1:18" ht="25.05" customHeight="1" x14ac:dyDescent="0.3">
      <c r="A7" s="15" t="s">
        <v>494</v>
      </c>
      <c r="B7" s="16" t="s">
        <v>495</v>
      </c>
      <c r="C7" s="17" t="s">
        <v>496</v>
      </c>
      <c r="D7" s="18" t="s">
        <v>497</v>
      </c>
      <c r="E7" s="19">
        <v>2011</v>
      </c>
      <c r="F7" s="18" t="s">
        <v>498</v>
      </c>
      <c r="G7" s="18" t="s">
        <v>499</v>
      </c>
      <c r="H7" s="17" t="s">
        <v>500</v>
      </c>
      <c r="I7" s="20">
        <v>2450</v>
      </c>
      <c r="J7" s="21">
        <v>3800</v>
      </c>
      <c r="K7" s="18" t="s">
        <v>501</v>
      </c>
      <c r="L7" s="22">
        <f t="shared" si="0"/>
        <v>1</v>
      </c>
      <c r="M7" s="23">
        <f t="shared" si="1"/>
        <v>0</v>
      </c>
      <c r="N7" s="23">
        <f t="shared" si="2"/>
        <v>0</v>
      </c>
      <c r="O7" s="17" t="s">
        <v>483</v>
      </c>
      <c r="P7" s="24">
        <f t="shared" si="3"/>
        <v>1</v>
      </c>
      <c r="Q7" s="17" t="s">
        <v>502</v>
      </c>
      <c r="R7" s="17" t="s">
        <v>503</v>
      </c>
    </row>
    <row r="8" spans="1:18" ht="25.05" customHeight="1" x14ac:dyDescent="0.3">
      <c r="A8" s="25" t="s">
        <v>504</v>
      </c>
      <c r="B8" s="26" t="s">
        <v>505</v>
      </c>
      <c r="C8" s="27" t="s">
        <v>506</v>
      </c>
      <c r="D8" s="28" t="s">
        <v>507</v>
      </c>
      <c r="E8" s="29">
        <v>2006</v>
      </c>
      <c r="F8" s="28" t="s">
        <v>508</v>
      </c>
      <c r="G8" s="28" t="s">
        <v>509</v>
      </c>
      <c r="H8" s="27" t="s">
        <v>510</v>
      </c>
      <c r="I8" s="30">
        <v>1950</v>
      </c>
      <c r="J8" s="31">
        <v>3200</v>
      </c>
      <c r="K8" s="28" t="s">
        <v>511</v>
      </c>
      <c r="L8" s="34">
        <f t="shared" si="0"/>
        <v>0</v>
      </c>
      <c r="M8" s="32">
        <f t="shared" si="1"/>
        <v>0</v>
      </c>
      <c r="N8" s="32">
        <f t="shared" si="2"/>
        <v>0</v>
      </c>
      <c r="O8" s="35" t="s">
        <v>512</v>
      </c>
      <c r="P8" s="33" t="str">
        <f t="shared" si="3"/>
        <v>N/A</v>
      </c>
      <c r="Q8" s="27" t="s">
        <v>513</v>
      </c>
      <c r="R8" s="27" t="s">
        <v>514</v>
      </c>
    </row>
    <row r="9" spans="1:18" ht="25.05" customHeight="1" x14ac:dyDescent="0.3">
      <c r="A9" s="15" t="s">
        <v>515</v>
      </c>
      <c r="B9" s="16" t="s">
        <v>516</v>
      </c>
      <c r="C9" s="17" t="s">
        <v>517</v>
      </c>
      <c r="D9" s="18" t="s">
        <v>518</v>
      </c>
      <c r="E9" s="19">
        <v>2010</v>
      </c>
      <c r="F9" s="18" t="s">
        <v>508</v>
      </c>
      <c r="G9" s="18" t="s">
        <v>509</v>
      </c>
      <c r="H9" s="17" t="s">
        <v>519</v>
      </c>
      <c r="I9" s="20">
        <v>465</v>
      </c>
      <c r="J9" s="21">
        <v>620</v>
      </c>
      <c r="K9" s="18" t="s">
        <v>520</v>
      </c>
      <c r="L9" s="34">
        <f t="shared" si="0"/>
        <v>0</v>
      </c>
      <c r="M9" s="23">
        <f t="shared" si="1"/>
        <v>0</v>
      </c>
      <c r="N9" s="23">
        <f t="shared" si="2"/>
        <v>0</v>
      </c>
      <c r="O9" s="35" t="s">
        <v>512</v>
      </c>
      <c r="P9" s="24" t="str">
        <f t="shared" si="3"/>
        <v>N/A</v>
      </c>
      <c r="Q9" s="17" t="s">
        <v>513</v>
      </c>
      <c r="R9" s="17" t="s">
        <v>521</v>
      </c>
    </row>
    <row r="10" spans="1:18" ht="25.05" customHeight="1" x14ac:dyDescent="0.3">
      <c r="A10" s="25" t="s">
        <v>522</v>
      </c>
      <c r="B10" s="26" t="s">
        <v>523</v>
      </c>
      <c r="C10" s="27" t="s">
        <v>524</v>
      </c>
      <c r="D10" s="28" t="s">
        <v>525</v>
      </c>
      <c r="E10" s="29">
        <v>2012</v>
      </c>
      <c r="F10" s="28" t="s">
        <v>479</v>
      </c>
      <c r="G10" s="28" t="s">
        <v>480</v>
      </c>
      <c r="H10" s="27" t="s">
        <v>526</v>
      </c>
      <c r="I10" s="30">
        <v>138.5</v>
      </c>
      <c r="J10" s="31">
        <v>540</v>
      </c>
      <c r="K10" s="28" t="s">
        <v>527</v>
      </c>
      <c r="L10" s="22">
        <f t="shared" si="0"/>
        <v>2</v>
      </c>
      <c r="M10" s="32">
        <f t="shared" si="1"/>
        <v>1</v>
      </c>
      <c r="N10" s="32">
        <f t="shared" si="2"/>
        <v>1</v>
      </c>
      <c r="O10" s="27" t="s">
        <v>483</v>
      </c>
      <c r="P10" s="33">
        <f t="shared" si="3"/>
        <v>1</v>
      </c>
      <c r="Q10" s="27" t="s">
        <v>528</v>
      </c>
      <c r="R10" s="27" t="s">
        <v>529</v>
      </c>
    </row>
    <row r="11" spans="1:18" ht="25.05" customHeight="1" x14ac:dyDescent="0.3">
      <c r="A11" s="15" t="s">
        <v>530</v>
      </c>
      <c r="B11" s="16" t="s">
        <v>531</v>
      </c>
      <c r="C11" s="17" t="s">
        <v>532</v>
      </c>
      <c r="D11" s="18" t="s">
        <v>533</v>
      </c>
      <c r="E11" s="19">
        <v>2008</v>
      </c>
      <c r="F11" s="18" t="s">
        <v>534</v>
      </c>
      <c r="G11" s="18" t="s">
        <v>535</v>
      </c>
      <c r="H11" s="17" t="s">
        <v>536</v>
      </c>
      <c r="I11" s="20">
        <v>78.5</v>
      </c>
      <c r="J11" s="21">
        <v>480</v>
      </c>
      <c r="K11" s="18" t="s">
        <v>537</v>
      </c>
      <c r="L11" s="22">
        <f t="shared" si="0"/>
        <v>4</v>
      </c>
      <c r="M11" s="23">
        <f t="shared" si="1"/>
        <v>1</v>
      </c>
      <c r="N11" s="23">
        <f t="shared" si="2"/>
        <v>0</v>
      </c>
      <c r="O11" s="17" t="s">
        <v>483</v>
      </c>
      <c r="P11" s="24">
        <f t="shared" si="3"/>
        <v>1</v>
      </c>
      <c r="Q11" s="17" t="s">
        <v>538</v>
      </c>
      <c r="R11" s="17" t="s">
        <v>539</v>
      </c>
    </row>
    <row r="12" spans="1:18" ht="25.05" customHeight="1" x14ac:dyDescent="0.3">
      <c r="A12" s="25" t="s">
        <v>540</v>
      </c>
      <c r="B12" s="26" t="s">
        <v>541</v>
      </c>
      <c r="C12" s="27" t="s">
        <v>542</v>
      </c>
      <c r="D12" s="28" t="s">
        <v>543</v>
      </c>
      <c r="E12" s="29">
        <v>2018</v>
      </c>
      <c r="F12" s="28" t="s">
        <v>544</v>
      </c>
      <c r="G12" s="28" t="s">
        <v>535</v>
      </c>
      <c r="H12" s="27" t="s">
        <v>545</v>
      </c>
      <c r="I12" s="30">
        <v>119</v>
      </c>
      <c r="J12" s="31">
        <v>710</v>
      </c>
      <c r="K12" s="28" t="s">
        <v>546</v>
      </c>
      <c r="L12" s="22">
        <f t="shared" si="0"/>
        <v>2</v>
      </c>
      <c r="M12" s="32">
        <f t="shared" si="1"/>
        <v>1</v>
      </c>
      <c r="N12" s="32">
        <f t="shared" si="2"/>
        <v>1</v>
      </c>
      <c r="O12" s="27" t="s">
        <v>483</v>
      </c>
      <c r="P12" s="33">
        <f t="shared" si="3"/>
        <v>1</v>
      </c>
      <c r="Q12" s="27" t="s">
        <v>547</v>
      </c>
      <c r="R12" s="27" t="s">
        <v>548</v>
      </c>
    </row>
    <row r="13" spans="1:18" ht="25.05" customHeight="1" x14ac:dyDescent="0.3">
      <c r="A13" s="15" t="s">
        <v>549</v>
      </c>
      <c r="B13" s="16" t="s">
        <v>550</v>
      </c>
      <c r="C13" s="17" t="s">
        <v>551</v>
      </c>
      <c r="D13" s="18" t="s">
        <v>552</v>
      </c>
      <c r="E13" s="19">
        <v>2015</v>
      </c>
      <c r="F13" s="18" t="s">
        <v>479</v>
      </c>
      <c r="G13" s="18" t="s">
        <v>480</v>
      </c>
      <c r="H13" s="17" t="s">
        <v>553</v>
      </c>
      <c r="I13" s="20">
        <v>96.4</v>
      </c>
      <c r="J13" s="21">
        <v>590</v>
      </c>
      <c r="K13" s="18" t="s">
        <v>554</v>
      </c>
      <c r="L13" s="22">
        <f t="shared" si="0"/>
        <v>3</v>
      </c>
      <c r="M13" s="23">
        <f t="shared" si="1"/>
        <v>2</v>
      </c>
      <c r="N13" s="23">
        <f t="shared" si="2"/>
        <v>1</v>
      </c>
      <c r="O13" s="17" t="s">
        <v>555</v>
      </c>
      <c r="P13" s="24">
        <f t="shared" si="3"/>
        <v>0.89</v>
      </c>
      <c r="Q13" s="17" t="s">
        <v>556</v>
      </c>
      <c r="R13" s="17" t="s">
        <v>557</v>
      </c>
    </row>
    <row r="14" spans="1:18" ht="25.05" customHeight="1" x14ac:dyDescent="0.3">
      <c r="A14" s="25" t="s">
        <v>558</v>
      </c>
      <c r="B14" s="26" t="s">
        <v>559</v>
      </c>
      <c r="C14" s="27" t="s">
        <v>560</v>
      </c>
      <c r="D14" s="28" t="s">
        <v>561</v>
      </c>
      <c r="E14" s="29">
        <v>2018</v>
      </c>
      <c r="F14" s="28" t="s">
        <v>562</v>
      </c>
      <c r="G14" s="28" t="s">
        <v>563</v>
      </c>
      <c r="H14" s="27" t="s">
        <v>564</v>
      </c>
      <c r="I14" s="30">
        <v>142</v>
      </c>
      <c r="J14" s="31">
        <v>950</v>
      </c>
      <c r="K14" s="28" t="s">
        <v>565</v>
      </c>
      <c r="L14" s="22">
        <f t="shared" si="0"/>
        <v>2</v>
      </c>
      <c r="M14" s="32">
        <f t="shared" si="1"/>
        <v>1</v>
      </c>
      <c r="N14" s="32">
        <f t="shared" si="2"/>
        <v>1</v>
      </c>
      <c r="O14" s="27" t="s">
        <v>483</v>
      </c>
      <c r="P14" s="33">
        <f t="shared" si="3"/>
        <v>1</v>
      </c>
      <c r="Q14" s="27" t="s">
        <v>566</v>
      </c>
      <c r="R14" s="27" t="s">
        <v>567</v>
      </c>
    </row>
    <row r="15" spans="1:18" ht="25.05" customHeight="1" x14ac:dyDescent="0.3">
      <c r="A15" s="15" t="s">
        <v>568</v>
      </c>
      <c r="B15" s="16" t="s">
        <v>569</v>
      </c>
      <c r="C15" s="17" t="s">
        <v>570</v>
      </c>
      <c r="D15" s="18" t="s">
        <v>571</v>
      </c>
      <c r="E15" s="19">
        <v>2010</v>
      </c>
      <c r="F15" s="18" t="s">
        <v>572</v>
      </c>
      <c r="G15" s="18" t="s">
        <v>573</v>
      </c>
      <c r="H15" s="17" t="s">
        <v>574</v>
      </c>
      <c r="I15" s="20">
        <v>92.5</v>
      </c>
      <c r="J15" s="21">
        <v>580</v>
      </c>
      <c r="K15" s="18" t="s">
        <v>575</v>
      </c>
      <c r="L15" s="22">
        <f t="shared" si="0"/>
        <v>2</v>
      </c>
      <c r="M15" s="23">
        <f t="shared" si="1"/>
        <v>2</v>
      </c>
      <c r="N15" s="23">
        <f t="shared" si="2"/>
        <v>1</v>
      </c>
      <c r="O15" s="17" t="s">
        <v>483</v>
      </c>
      <c r="P15" s="24">
        <f t="shared" si="3"/>
        <v>1</v>
      </c>
      <c r="Q15" s="17" t="s">
        <v>576</v>
      </c>
      <c r="R15" s="17" t="s">
        <v>577</v>
      </c>
    </row>
    <row r="16" spans="1:18" ht="25.05" customHeight="1" x14ac:dyDescent="0.3">
      <c r="A16" s="25" t="s">
        <v>578</v>
      </c>
      <c r="B16" s="26" t="s">
        <v>579</v>
      </c>
      <c r="C16" s="27" t="s">
        <v>580</v>
      </c>
      <c r="D16" s="28" t="s">
        <v>581</v>
      </c>
      <c r="E16" s="29">
        <v>2017</v>
      </c>
      <c r="F16" s="28" t="s">
        <v>479</v>
      </c>
      <c r="G16" s="28" t="s">
        <v>480</v>
      </c>
      <c r="H16" s="27" t="s">
        <v>582</v>
      </c>
      <c r="I16" s="30">
        <v>128</v>
      </c>
      <c r="J16" s="31">
        <v>820</v>
      </c>
      <c r="K16" s="28" t="s">
        <v>583</v>
      </c>
      <c r="L16" s="22">
        <f t="shared" si="0"/>
        <v>1</v>
      </c>
      <c r="M16" s="32">
        <f t="shared" si="1"/>
        <v>0</v>
      </c>
      <c r="N16" s="32">
        <f t="shared" si="2"/>
        <v>0</v>
      </c>
      <c r="O16" s="27" t="s">
        <v>483</v>
      </c>
      <c r="P16" s="33">
        <f t="shared" si="3"/>
        <v>1</v>
      </c>
      <c r="Q16" s="27" t="s">
        <v>584</v>
      </c>
      <c r="R16" s="27" t="s">
        <v>585</v>
      </c>
    </row>
    <row r="17" spans="1:18" ht="25.05" customHeight="1" x14ac:dyDescent="0.3">
      <c r="A17" s="15" t="s">
        <v>586</v>
      </c>
      <c r="B17" s="16" t="s">
        <v>587</v>
      </c>
      <c r="C17" s="17" t="s">
        <v>588</v>
      </c>
      <c r="D17" s="18" t="s">
        <v>589</v>
      </c>
      <c r="E17" s="19">
        <v>2013</v>
      </c>
      <c r="F17" s="18" t="s">
        <v>479</v>
      </c>
      <c r="G17" s="18" t="s">
        <v>480</v>
      </c>
      <c r="H17" s="17" t="s">
        <v>590</v>
      </c>
      <c r="I17" s="20">
        <v>45.2</v>
      </c>
      <c r="J17" s="21">
        <v>165</v>
      </c>
      <c r="K17" s="18" t="s">
        <v>591</v>
      </c>
      <c r="L17" s="22">
        <f t="shared" si="0"/>
        <v>2</v>
      </c>
      <c r="M17" s="23">
        <f t="shared" si="1"/>
        <v>2</v>
      </c>
      <c r="N17" s="23">
        <f t="shared" si="2"/>
        <v>2</v>
      </c>
      <c r="O17" s="17" t="s">
        <v>483</v>
      </c>
      <c r="P17" s="24">
        <f t="shared" si="3"/>
        <v>1</v>
      </c>
      <c r="Q17" s="17" t="s">
        <v>592</v>
      </c>
      <c r="R17" s="17" t="s">
        <v>593</v>
      </c>
    </row>
    <row r="18" spans="1:18" ht="25.05" customHeight="1" x14ac:dyDescent="0.3">
      <c r="A18" s="25" t="s">
        <v>594</v>
      </c>
      <c r="B18" s="26" t="s">
        <v>595</v>
      </c>
      <c r="C18" s="27" t="s">
        <v>596</v>
      </c>
      <c r="D18" s="28" t="s">
        <v>597</v>
      </c>
      <c r="E18" s="29">
        <v>2010</v>
      </c>
      <c r="F18" s="28" t="s">
        <v>479</v>
      </c>
      <c r="G18" s="28" t="s">
        <v>480</v>
      </c>
      <c r="H18" s="27" t="s">
        <v>598</v>
      </c>
      <c r="I18" s="30">
        <v>34.799999999999997</v>
      </c>
      <c r="J18" s="31">
        <v>190</v>
      </c>
      <c r="K18" s="28" t="s">
        <v>599</v>
      </c>
      <c r="L18" s="22">
        <f t="shared" si="0"/>
        <v>3</v>
      </c>
      <c r="M18" s="32">
        <f t="shared" si="1"/>
        <v>3</v>
      </c>
      <c r="N18" s="32">
        <f t="shared" si="2"/>
        <v>1</v>
      </c>
      <c r="O18" s="27" t="s">
        <v>483</v>
      </c>
      <c r="P18" s="33">
        <f t="shared" si="3"/>
        <v>1</v>
      </c>
      <c r="Q18" s="27" t="s">
        <v>600</v>
      </c>
      <c r="R18" s="27" t="s">
        <v>601</v>
      </c>
    </row>
    <row r="19" spans="1:18" ht="25.05" customHeight="1" x14ac:dyDescent="0.3">
      <c r="A19" s="15" t="s">
        <v>602</v>
      </c>
      <c r="B19" s="16" t="s">
        <v>603</v>
      </c>
      <c r="C19" s="17" t="s">
        <v>604</v>
      </c>
      <c r="D19" s="18" t="s">
        <v>605</v>
      </c>
      <c r="E19" s="19">
        <v>2011</v>
      </c>
      <c r="F19" s="18" t="s">
        <v>606</v>
      </c>
      <c r="G19" s="18" t="s">
        <v>607</v>
      </c>
      <c r="H19" s="17" t="s">
        <v>608</v>
      </c>
      <c r="I19" s="20">
        <v>39.5</v>
      </c>
      <c r="J19" s="21">
        <v>850</v>
      </c>
      <c r="K19" s="18" t="s">
        <v>609</v>
      </c>
      <c r="L19" s="34">
        <f t="shared" si="0"/>
        <v>0</v>
      </c>
      <c r="M19" s="23">
        <f t="shared" si="1"/>
        <v>0</v>
      </c>
      <c r="N19" s="23">
        <f t="shared" si="2"/>
        <v>0</v>
      </c>
      <c r="O19" s="35" t="s">
        <v>512</v>
      </c>
      <c r="P19" s="24" t="str">
        <f t="shared" si="3"/>
        <v>N/A</v>
      </c>
      <c r="Q19" s="17" t="s">
        <v>513</v>
      </c>
      <c r="R19" s="17" t="s">
        <v>610</v>
      </c>
    </row>
    <row r="20" spans="1:18" ht="25.05" customHeight="1" x14ac:dyDescent="0.3">
      <c r="A20" s="25" t="s">
        <v>611</v>
      </c>
      <c r="B20" s="26" t="s">
        <v>612</v>
      </c>
      <c r="C20" s="27" t="s">
        <v>613</v>
      </c>
      <c r="D20" s="28" t="s">
        <v>614</v>
      </c>
      <c r="E20" s="29">
        <v>2016</v>
      </c>
      <c r="F20" s="28" t="s">
        <v>508</v>
      </c>
      <c r="G20" s="28" t="s">
        <v>509</v>
      </c>
      <c r="H20" s="27" t="s">
        <v>615</v>
      </c>
      <c r="I20" s="30">
        <v>37</v>
      </c>
      <c r="J20" s="31">
        <v>420</v>
      </c>
      <c r="K20" s="28" t="s">
        <v>616</v>
      </c>
      <c r="L20" s="22">
        <f t="shared" si="0"/>
        <v>1</v>
      </c>
      <c r="M20" s="32">
        <f t="shared" si="1"/>
        <v>0</v>
      </c>
      <c r="N20" s="32">
        <f t="shared" si="2"/>
        <v>0</v>
      </c>
      <c r="O20" s="27" t="s">
        <v>617</v>
      </c>
      <c r="P20" s="33">
        <f t="shared" si="3"/>
        <v>1</v>
      </c>
      <c r="Q20" s="27" t="s">
        <v>618</v>
      </c>
      <c r="R20" s="27" t="s">
        <v>619</v>
      </c>
    </row>
    <row r="21" spans="1:18" ht="25.05" customHeight="1" x14ac:dyDescent="0.3">
      <c r="A21" s="15" t="s">
        <v>620</v>
      </c>
      <c r="B21" s="16" t="s">
        <v>621</v>
      </c>
      <c r="C21" s="17" t="s">
        <v>622</v>
      </c>
      <c r="D21" s="18" t="s">
        <v>623</v>
      </c>
      <c r="E21" s="19">
        <v>2013</v>
      </c>
      <c r="F21" s="18" t="s">
        <v>508</v>
      </c>
      <c r="G21" s="18" t="s">
        <v>509</v>
      </c>
      <c r="H21" s="17" t="s">
        <v>624</v>
      </c>
      <c r="I21" s="20">
        <v>24.5</v>
      </c>
      <c r="J21" s="21">
        <v>260</v>
      </c>
      <c r="K21" s="18" t="s">
        <v>625</v>
      </c>
      <c r="L21" s="22">
        <f t="shared" si="0"/>
        <v>1</v>
      </c>
      <c r="M21" s="23">
        <f t="shared" si="1"/>
        <v>1</v>
      </c>
      <c r="N21" s="23">
        <f t="shared" si="2"/>
        <v>0</v>
      </c>
      <c r="O21" s="17" t="s">
        <v>626</v>
      </c>
      <c r="P21" s="24">
        <f t="shared" si="3"/>
        <v>1</v>
      </c>
      <c r="Q21" s="17" t="s">
        <v>627</v>
      </c>
      <c r="R21" s="17" t="s">
        <v>628</v>
      </c>
    </row>
    <row r="22" spans="1:18" ht="25.05" customHeight="1" x14ac:dyDescent="0.3">
      <c r="A22" s="25" t="s">
        <v>629</v>
      </c>
      <c r="B22" s="26" t="s">
        <v>630</v>
      </c>
      <c r="C22" s="27" t="s">
        <v>631</v>
      </c>
      <c r="D22" s="28" t="s">
        <v>632</v>
      </c>
      <c r="E22" s="29">
        <v>2017</v>
      </c>
      <c r="F22" s="28" t="s">
        <v>633</v>
      </c>
      <c r="G22" s="28" t="s">
        <v>535</v>
      </c>
      <c r="H22" s="27" t="s">
        <v>634</v>
      </c>
      <c r="I22" s="30">
        <v>13.8</v>
      </c>
      <c r="J22" s="31">
        <v>290</v>
      </c>
      <c r="K22" s="28" t="s">
        <v>635</v>
      </c>
      <c r="L22" s="22">
        <f t="shared" si="0"/>
        <v>2</v>
      </c>
      <c r="M22" s="32">
        <f t="shared" si="1"/>
        <v>1</v>
      </c>
      <c r="N22" s="32">
        <f t="shared" si="2"/>
        <v>1</v>
      </c>
      <c r="O22" s="27" t="s">
        <v>636</v>
      </c>
      <c r="P22" s="33">
        <f t="shared" si="3"/>
        <v>1</v>
      </c>
      <c r="Q22" s="27" t="s">
        <v>637</v>
      </c>
      <c r="R22" s="27" t="s">
        <v>638</v>
      </c>
    </row>
    <row r="23" spans="1:18" ht="25.05" customHeight="1" x14ac:dyDescent="0.3">
      <c r="A23" s="15" t="s">
        <v>639</v>
      </c>
      <c r="B23" s="16" t="s">
        <v>640</v>
      </c>
      <c r="C23" s="17" t="s">
        <v>641</v>
      </c>
      <c r="D23" s="18" t="s">
        <v>642</v>
      </c>
      <c r="E23" s="19">
        <v>2016</v>
      </c>
      <c r="F23" s="18" t="s">
        <v>562</v>
      </c>
      <c r="G23" s="18" t="s">
        <v>563</v>
      </c>
      <c r="H23" s="17" t="s">
        <v>643</v>
      </c>
      <c r="I23" s="20">
        <v>14.2</v>
      </c>
      <c r="J23" s="21">
        <v>210</v>
      </c>
      <c r="K23" s="18" t="s">
        <v>644</v>
      </c>
      <c r="L23" s="22">
        <f t="shared" si="0"/>
        <v>2</v>
      </c>
      <c r="M23" s="23">
        <f t="shared" si="1"/>
        <v>1</v>
      </c>
      <c r="N23" s="23">
        <f t="shared" si="2"/>
        <v>1</v>
      </c>
      <c r="O23" s="17" t="s">
        <v>483</v>
      </c>
      <c r="P23" s="24">
        <f t="shared" si="3"/>
        <v>1</v>
      </c>
      <c r="Q23" s="17" t="s">
        <v>645</v>
      </c>
      <c r="R23" s="17" t="s">
        <v>646</v>
      </c>
    </row>
    <row r="24" spans="1:18" ht="25.05" customHeight="1" x14ac:dyDescent="0.3">
      <c r="A24" s="25" t="s">
        <v>647</v>
      </c>
      <c r="B24" s="26" t="s">
        <v>648</v>
      </c>
      <c r="C24" s="27" t="s">
        <v>649</v>
      </c>
      <c r="D24" s="28" t="s">
        <v>650</v>
      </c>
      <c r="E24" s="29">
        <v>2018</v>
      </c>
      <c r="F24" s="28" t="s">
        <v>498</v>
      </c>
      <c r="G24" s="28" t="s">
        <v>499</v>
      </c>
      <c r="H24" s="27" t="s">
        <v>651</v>
      </c>
      <c r="I24" s="30">
        <v>8.5</v>
      </c>
      <c r="J24" s="31">
        <v>85</v>
      </c>
      <c r="K24" s="28" t="s">
        <v>652</v>
      </c>
      <c r="L24" s="34">
        <f t="shared" si="0"/>
        <v>0</v>
      </c>
      <c r="M24" s="32">
        <f t="shared" si="1"/>
        <v>0</v>
      </c>
      <c r="N24" s="32">
        <f t="shared" si="2"/>
        <v>0</v>
      </c>
      <c r="O24" s="35" t="s">
        <v>512</v>
      </c>
      <c r="P24" s="33" t="str">
        <f t="shared" si="3"/>
        <v>N/A</v>
      </c>
      <c r="Q24" s="27" t="s">
        <v>513</v>
      </c>
      <c r="R24" s="27" t="s">
        <v>653</v>
      </c>
    </row>
    <row r="25" spans="1:18" ht="24" customHeight="1" x14ac:dyDescent="0.3">
      <c r="A25" s="36" t="s">
        <v>654</v>
      </c>
      <c r="B25" s="37" t="str">
        <f>COUNTA(A5:A24)&amp;" Startups"</f>
        <v>20 Startups</v>
      </c>
      <c r="C25" s="38"/>
      <c r="D25" s="38"/>
      <c r="E25" s="38"/>
      <c r="F25" s="38"/>
      <c r="G25" s="38"/>
      <c r="H25" s="38"/>
      <c r="I25" s="39">
        <f>SUM(I5:I24)</f>
        <v>7409.4</v>
      </c>
      <c r="J25" s="40">
        <f>SUM(J5:J24)</f>
        <v>21310</v>
      </c>
      <c r="K25" s="38"/>
      <c r="L25" s="40">
        <f>SUM(L5:L24)</f>
        <v>35</v>
      </c>
      <c r="M25" s="40">
        <f>SUM(M5:M24)</f>
        <v>19</v>
      </c>
      <c r="N25" s="40">
        <f>SUM(N5:N24)</f>
        <v>13</v>
      </c>
      <c r="O25" s="37" t="str">
        <f>COUNTIF(L5:L24, "&gt;0")&amp;" of 20 Firms Patent-Active (80%)"</f>
        <v>16 of 20 Firms Patent-Active (80%)</v>
      </c>
      <c r="P25" s="41">
        <f>AVERAGE(Q30:Q64)</f>
        <v>0.98885714285714288</v>
      </c>
      <c r="Q25" s="38"/>
      <c r="R25" s="38"/>
    </row>
    <row r="28" spans="1:18" x14ac:dyDescent="0.3">
      <c r="A28" s="14" t="s">
        <v>655</v>
      </c>
    </row>
    <row r="29" spans="1:18" ht="28.05" customHeight="1" x14ac:dyDescent="0.3">
      <c r="A29" s="3" t="s">
        <v>457</v>
      </c>
      <c r="B29" s="4" t="s">
        <v>458</v>
      </c>
      <c r="C29" s="4" t="s">
        <v>656</v>
      </c>
      <c r="D29" s="4" t="s">
        <v>657</v>
      </c>
      <c r="E29" s="4" t="s">
        <v>462</v>
      </c>
      <c r="F29" s="4" t="s">
        <v>658</v>
      </c>
      <c r="G29" s="4" t="s">
        <v>659</v>
      </c>
      <c r="H29" s="3" t="s">
        <v>660</v>
      </c>
      <c r="I29" s="3" t="s">
        <v>661</v>
      </c>
      <c r="J29" s="3" t="s">
        <v>8</v>
      </c>
      <c r="K29" s="4" t="s">
        <v>662</v>
      </c>
      <c r="L29" s="4" t="s">
        <v>663</v>
      </c>
      <c r="M29" s="4" t="s">
        <v>664</v>
      </c>
      <c r="N29" s="4" t="s">
        <v>665</v>
      </c>
      <c r="O29" s="3" t="s">
        <v>666</v>
      </c>
      <c r="P29" s="4" t="s">
        <v>667</v>
      </c>
      <c r="Q29" s="3" t="s">
        <v>668</v>
      </c>
      <c r="R29" s="4" t="s">
        <v>669</v>
      </c>
    </row>
    <row r="30" spans="1:18" ht="28.05" customHeight="1" x14ac:dyDescent="0.3">
      <c r="A30" s="5" t="s">
        <v>486</v>
      </c>
      <c r="B30" s="6" t="s">
        <v>487</v>
      </c>
      <c r="C30" s="7" t="s">
        <v>488</v>
      </c>
      <c r="D30" s="7" t="s">
        <v>490</v>
      </c>
      <c r="E30" s="6" t="s">
        <v>479</v>
      </c>
      <c r="F30" s="6" t="s">
        <v>18</v>
      </c>
      <c r="G30" s="6" t="s">
        <v>19</v>
      </c>
      <c r="H30" s="5" t="s">
        <v>20</v>
      </c>
      <c r="I30" s="5" t="s">
        <v>21</v>
      </c>
      <c r="J30" s="5" t="s">
        <v>22</v>
      </c>
      <c r="K30" s="7" t="s">
        <v>23</v>
      </c>
      <c r="L30" s="6" t="s">
        <v>24</v>
      </c>
      <c r="M30" s="7" t="s">
        <v>25</v>
      </c>
      <c r="N30" s="7" t="s">
        <v>26</v>
      </c>
      <c r="O30" s="5" t="s">
        <v>670</v>
      </c>
      <c r="P30" s="7" t="s">
        <v>483</v>
      </c>
      <c r="Q30" s="42">
        <v>1</v>
      </c>
      <c r="R30" s="7" t="s">
        <v>671</v>
      </c>
    </row>
    <row r="31" spans="1:18" ht="28.05" customHeight="1" x14ac:dyDescent="0.3">
      <c r="A31" s="8" t="s">
        <v>486</v>
      </c>
      <c r="B31" s="9" t="s">
        <v>487</v>
      </c>
      <c r="C31" s="10" t="s">
        <v>488</v>
      </c>
      <c r="D31" s="10" t="s">
        <v>490</v>
      </c>
      <c r="E31" s="9" t="s">
        <v>479</v>
      </c>
      <c r="F31" s="9" t="s">
        <v>31</v>
      </c>
      <c r="G31" s="9" t="s">
        <v>32</v>
      </c>
      <c r="H31" s="8" t="s">
        <v>34</v>
      </c>
      <c r="I31" s="8" t="s">
        <v>35</v>
      </c>
      <c r="J31" s="8" t="s">
        <v>36</v>
      </c>
      <c r="K31" s="10" t="s">
        <v>37</v>
      </c>
      <c r="L31" s="9" t="s">
        <v>38</v>
      </c>
      <c r="M31" s="10" t="s">
        <v>39</v>
      </c>
      <c r="N31" s="10" t="s">
        <v>40</v>
      </c>
      <c r="O31" s="8" t="s">
        <v>672</v>
      </c>
      <c r="P31" s="10" t="s">
        <v>483</v>
      </c>
      <c r="Q31" s="43">
        <v>1</v>
      </c>
      <c r="R31" s="10" t="s">
        <v>673</v>
      </c>
    </row>
    <row r="32" spans="1:18" ht="28.05" customHeight="1" x14ac:dyDescent="0.3">
      <c r="A32" s="5" t="s">
        <v>486</v>
      </c>
      <c r="B32" s="6" t="s">
        <v>487</v>
      </c>
      <c r="C32" s="7" t="s">
        <v>488</v>
      </c>
      <c r="D32" s="7" t="s">
        <v>490</v>
      </c>
      <c r="E32" s="6" t="s">
        <v>479</v>
      </c>
      <c r="F32" s="6" t="s">
        <v>44</v>
      </c>
      <c r="G32" s="6" t="s">
        <v>45</v>
      </c>
      <c r="H32" s="5" t="s">
        <v>47</v>
      </c>
      <c r="I32" s="5" t="s">
        <v>48</v>
      </c>
      <c r="J32" s="5" t="s">
        <v>22</v>
      </c>
      <c r="K32" s="7" t="s">
        <v>49</v>
      </c>
      <c r="L32" s="6" t="s">
        <v>50</v>
      </c>
      <c r="M32" s="7" t="s">
        <v>51</v>
      </c>
      <c r="N32" s="7" t="s">
        <v>52</v>
      </c>
      <c r="O32" s="5" t="s">
        <v>672</v>
      </c>
      <c r="P32" s="7" t="s">
        <v>483</v>
      </c>
      <c r="Q32" s="42">
        <v>1</v>
      </c>
      <c r="R32" s="7" t="s">
        <v>674</v>
      </c>
    </row>
    <row r="33" spans="1:18" ht="28.05" customHeight="1" x14ac:dyDescent="0.3">
      <c r="A33" s="8" t="s">
        <v>486</v>
      </c>
      <c r="B33" s="9" t="s">
        <v>487</v>
      </c>
      <c r="C33" s="10" t="s">
        <v>488</v>
      </c>
      <c r="D33" s="10" t="s">
        <v>490</v>
      </c>
      <c r="E33" s="9" t="s">
        <v>479</v>
      </c>
      <c r="F33" s="9" t="s">
        <v>56</v>
      </c>
      <c r="G33" s="9" t="s">
        <v>57</v>
      </c>
      <c r="H33" s="8" t="s">
        <v>59</v>
      </c>
      <c r="I33" s="8" t="s">
        <v>60</v>
      </c>
      <c r="J33" s="8" t="s">
        <v>36</v>
      </c>
      <c r="K33" s="10" t="s">
        <v>61</v>
      </c>
      <c r="L33" s="9" t="s">
        <v>62</v>
      </c>
      <c r="M33" s="10" t="s">
        <v>39</v>
      </c>
      <c r="N33" s="10" t="s">
        <v>63</v>
      </c>
      <c r="O33" s="8" t="s">
        <v>670</v>
      </c>
      <c r="P33" s="10" t="s">
        <v>483</v>
      </c>
      <c r="Q33" s="43">
        <v>1</v>
      </c>
      <c r="R33" s="10" t="s">
        <v>675</v>
      </c>
    </row>
    <row r="34" spans="1:18" ht="28.05" customHeight="1" x14ac:dyDescent="0.3">
      <c r="A34" s="5" t="s">
        <v>475</v>
      </c>
      <c r="B34" s="6" t="s">
        <v>476</v>
      </c>
      <c r="C34" s="7" t="s">
        <v>477</v>
      </c>
      <c r="D34" s="7" t="s">
        <v>481</v>
      </c>
      <c r="E34" s="6" t="s">
        <v>479</v>
      </c>
      <c r="F34" s="6" t="s">
        <v>67</v>
      </c>
      <c r="G34" s="6" t="s">
        <v>68</v>
      </c>
      <c r="H34" s="5" t="s">
        <v>70</v>
      </c>
      <c r="I34" s="5" t="s">
        <v>71</v>
      </c>
      <c r="J34" s="5" t="s">
        <v>22</v>
      </c>
      <c r="K34" s="7" t="s">
        <v>72</v>
      </c>
      <c r="L34" s="6" t="s">
        <v>73</v>
      </c>
      <c r="M34" s="7" t="s">
        <v>74</v>
      </c>
      <c r="N34" s="7" t="s">
        <v>75</v>
      </c>
      <c r="O34" s="5" t="s">
        <v>670</v>
      </c>
      <c r="P34" s="7" t="s">
        <v>483</v>
      </c>
      <c r="Q34" s="42">
        <v>1</v>
      </c>
      <c r="R34" s="7" t="s">
        <v>676</v>
      </c>
    </row>
    <row r="35" spans="1:18" ht="28.05" customHeight="1" x14ac:dyDescent="0.3">
      <c r="A35" s="8" t="s">
        <v>475</v>
      </c>
      <c r="B35" s="9" t="s">
        <v>476</v>
      </c>
      <c r="C35" s="10" t="s">
        <v>477</v>
      </c>
      <c r="D35" s="10" t="s">
        <v>481</v>
      </c>
      <c r="E35" s="9" t="s">
        <v>479</v>
      </c>
      <c r="F35" s="9" t="s">
        <v>79</v>
      </c>
      <c r="G35" s="9" t="s">
        <v>80</v>
      </c>
      <c r="H35" s="8" t="s">
        <v>82</v>
      </c>
      <c r="I35" s="8" t="s">
        <v>83</v>
      </c>
      <c r="J35" s="8" t="s">
        <v>36</v>
      </c>
      <c r="K35" s="10" t="s">
        <v>84</v>
      </c>
      <c r="L35" s="9" t="s">
        <v>85</v>
      </c>
      <c r="M35" s="10" t="s">
        <v>86</v>
      </c>
      <c r="N35" s="10" t="s">
        <v>87</v>
      </c>
      <c r="O35" s="8" t="s">
        <v>672</v>
      </c>
      <c r="P35" s="10" t="s">
        <v>677</v>
      </c>
      <c r="Q35" s="43">
        <v>0.94</v>
      </c>
      <c r="R35" s="10" t="s">
        <v>678</v>
      </c>
    </row>
    <row r="36" spans="1:18" ht="28.05" customHeight="1" x14ac:dyDescent="0.3">
      <c r="A36" s="5" t="s">
        <v>475</v>
      </c>
      <c r="B36" s="6" t="s">
        <v>476</v>
      </c>
      <c r="C36" s="7" t="s">
        <v>477</v>
      </c>
      <c r="D36" s="7" t="s">
        <v>481</v>
      </c>
      <c r="E36" s="6" t="s">
        <v>479</v>
      </c>
      <c r="F36" s="6" t="s">
        <v>91</v>
      </c>
      <c r="G36" s="6" t="s">
        <v>92</v>
      </c>
      <c r="H36" s="5" t="s">
        <v>94</v>
      </c>
      <c r="I36" s="5" t="s">
        <v>95</v>
      </c>
      <c r="J36" s="5" t="s">
        <v>36</v>
      </c>
      <c r="K36" s="7" t="s">
        <v>96</v>
      </c>
      <c r="L36" s="6" t="s">
        <v>97</v>
      </c>
      <c r="M36" s="7" t="s">
        <v>98</v>
      </c>
      <c r="N36" s="7" t="s">
        <v>99</v>
      </c>
      <c r="O36" s="5" t="s">
        <v>670</v>
      </c>
      <c r="P36" s="7" t="s">
        <v>483</v>
      </c>
      <c r="Q36" s="42">
        <v>1</v>
      </c>
      <c r="R36" s="7" t="s">
        <v>675</v>
      </c>
    </row>
    <row r="37" spans="1:18" ht="28.05" customHeight="1" x14ac:dyDescent="0.3">
      <c r="A37" s="8" t="s">
        <v>530</v>
      </c>
      <c r="B37" s="9" t="s">
        <v>531</v>
      </c>
      <c r="C37" s="10" t="s">
        <v>532</v>
      </c>
      <c r="D37" s="10" t="s">
        <v>536</v>
      </c>
      <c r="E37" s="9" t="s">
        <v>534</v>
      </c>
      <c r="F37" s="9" t="s">
        <v>102</v>
      </c>
      <c r="G37" s="9" t="s">
        <v>103</v>
      </c>
      <c r="H37" s="8" t="s">
        <v>105</v>
      </c>
      <c r="I37" s="8" t="s">
        <v>106</v>
      </c>
      <c r="J37" s="8" t="s">
        <v>107</v>
      </c>
      <c r="K37" s="10" t="s">
        <v>108</v>
      </c>
      <c r="L37" s="9" t="s">
        <v>109</v>
      </c>
      <c r="M37" s="10" t="s">
        <v>110</v>
      </c>
      <c r="N37" s="10" t="s">
        <v>111</v>
      </c>
      <c r="O37" s="8" t="s">
        <v>670</v>
      </c>
      <c r="P37" s="10" t="s">
        <v>483</v>
      </c>
      <c r="Q37" s="43">
        <v>1</v>
      </c>
      <c r="R37" s="10" t="s">
        <v>679</v>
      </c>
    </row>
    <row r="38" spans="1:18" ht="28.05" customHeight="1" x14ac:dyDescent="0.3">
      <c r="A38" s="5" t="s">
        <v>530</v>
      </c>
      <c r="B38" s="6" t="s">
        <v>531</v>
      </c>
      <c r="C38" s="7" t="s">
        <v>532</v>
      </c>
      <c r="D38" s="7" t="s">
        <v>536</v>
      </c>
      <c r="E38" s="6" t="s">
        <v>534</v>
      </c>
      <c r="F38" s="6" t="s">
        <v>116</v>
      </c>
      <c r="G38" s="6" t="s">
        <v>117</v>
      </c>
      <c r="H38" s="5" t="s">
        <v>60</v>
      </c>
      <c r="I38" s="5" t="s">
        <v>106</v>
      </c>
      <c r="J38" s="5" t="s">
        <v>107</v>
      </c>
      <c r="K38" s="7" t="s">
        <v>119</v>
      </c>
      <c r="L38" s="6" t="s">
        <v>120</v>
      </c>
      <c r="M38" s="7" t="s">
        <v>110</v>
      </c>
      <c r="N38" s="7" t="s">
        <v>121</v>
      </c>
      <c r="O38" s="5" t="s">
        <v>670</v>
      </c>
      <c r="P38" s="7" t="s">
        <v>483</v>
      </c>
      <c r="Q38" s="42">
        <v>1</v>
      </c>
      <c r="R38" s="7" t="s">
        <v>675</v>
      </c>
    </row>
    <row r="39" spans="1:18" ht="28.05" customHeight="1" x14ac:dyDescent="0.3">
      <c r="A39" s="8" t="s">
        <v>530</v>
      </c>
      <c r="B39" s="9" t="s">
        <v>531</v>
      </c>
      <c r="C39" s="10" t="s">
        <v>532</v>
      </c>
      <c r="D39" s="10" t="s">
        <v>536</v>
      </c>
      <c r="E39" s="9" t="s">
        <v>534</v>
      </c>
      <c r="F39" s="9" t="s">
        <v>124</v>
      </c>
      <c r="G39" s="9" t="s">
        <v>125</v>
      </c>
      <c r="H39" s="8" t="s">
        <v>127</v>
      </c>
      <c r="I39" s="8" t="s">
        <v>128</v>
      </c>
      <c r="J39" s="8" t="s">
        <v>129</v>
      </c>
      <c r="K39" s="10" t="s">
        <v>130</v>
      </c>
      <c r="L39" s="9" t="s">
        <v>131</v>
      </c>
      <c r="M39" s="10" t="s">
        <v>110</v>
      </c>
      <c r="N39" s="10" t="s">
        <v>132</v>
      </c>
      <c r="O39" s="8" t="s">
        <v>672</v>
      </c>
      <c r="P39" s="10" t="s">
        <v>483</v>
      </c>
      <c r="Q39" s="43">
        <v>1</v>
      </c>
      <c r="R39" s="10" t="s">
        <v>675</v>
      </c>
    </row>
    <row r="40" spans="1:18" ht="28.05" customHeight="1" x14ac:dyDescent="0.3">
      <c r="A40" s="5" t="s">
        <v>530</v>
      </c>
      <c r="B40" s="6" t="s">
        <v>531</v>
      </c>
      <c r="C40" s="7" t="s">
        <v>532</v>
      </c>
      <c r="D40" s="7" t="s">
        <v>536</v>
      </c>
      <c r="E40" s="6" t="s">
        <v>534</v>
      </c>
      <c r="F40" s="6" t="s">
        <v>136</v>
      </c>
      <c r="G40" s="6" t="s">
        <v>137</v>
      </c>
      <c r="H40" s="5" t="s">
        <v>139</v>
      </c>
      <c r="I40" s="5" t="s">
        <v>140</v>
      </c>
      <c r="J40" s="5" t="s">
        <v>107</v>
      </c>
      <c r="K40" s="7" t="s">
        <v>141</v>
      </c>
      <c r="L40" s="6" t="s">
        <v>142</v>
      </c>
      <c r="M40" s="7" t="s">
        <v>110</v>
      </c>
      <c r="N40" s="7" t="s">
        <v>143</v>
      </c>
      <c r="O40" s="5" t="s">
        <v>670</v>
      </c>
      <c r="P40" s="7" t="s">
        <v>483</v>
      </c>
      <c r="Q40" s="42">
        <v>1</v>
      </c>
      <c r="R40" s="7" t="s">
        <v>675</v>
      </c>
    </row>
    <row r="41" spans="1:18" ht="28.05" customHeight="1" x14ac:dyDescent="0.3">
      <c r="A41" s="8" t="s">
        <v>549</v>
      </c>
      <c r="B41" s="9" t="s">
        <v>550</v>
      </c>
      <c r="C41" s="10" t="s">
        <v>551</v>
      </c>
      <c r="D41" s="10" t="s">
        <v>553</v>
      </c>
      <c r="E41" s="9" t="s">
        <v>479</v>
      </c>
      <c r="F41" s="9" t="s">
        <v>147</v>
      </c>
      <c r="G41" s="9" t="s">
        <v>148</v>
      </c>
      <c r="H41" s="8" t="s">
        <v>150</v>
      </c>
      <c r="I41" s="8" t="s">
        <v>151</v>
      </c>
      <c r="J41" s="8" t="s">
        <v>129</v>
      </c>
      <c r="K41" s="10" t="s">
        <v>152</v>
      </c>
      <c r="L41" s="9" t="s">
        <v>153</v>
      </c>
      <c r="M41" s="10" t="s">
        <v>154</v>
      </c>
      <c r="N41" s="10" t="s">
        <v>155</v>
      </c>
      <c r="O41" s="8" t="s">
        <v>672</v>
      </c>
      <c r="P41" s="10" t="s">
        <v>680</v>
      </c>
      <c r="Q41" s="43">
        <v>0.89</v>
      </c>
      <c r="R41" s="10" t="s">
        <v>681</v>
      </c>
    </row>
    <row r="42" spans="1:18" ht="28.05" customHeight="1" x14ac:dyDescent="0.3">
      <c r="A42" s="5" t="s">
        <v>549</v>
      </c>
      <c r="B42" s="6" t="s">
        <v>550</v>
      </c>
      <c r="C42" s="7" t="s">
        <v>551</v>
      </c>
      <c r="D42" s="7" t="s">
        <v>553</v>
      </c>
      <c r="E42" s="6" t="s">
        <v>479</v>
      </c>
      <c r="F42" s="6" t="s">
        <v>160</v>
      </c>
      <c r="G42" s="6" t="s">
        <v>161</v>
      </c>
      <c r="H42" s="5" t="s">
        <v>163</v>
      </c>
      <c r="I42" s="5" t="s">
        <v>164</v>
      </c>
      <c r="J42" s="5" t="s">
        <v>129</v>
      </c>
      <c r="K42" s="7" t="s">
        <v>165</v>
      </c>
      <c r="L42" s="6" t="s">
        <v>166</v>
      </c>
      <c r="M42" s="7" t="s">
        <v>154</v>
      </c>
      <c r="N42" s="7" t="s">
        <v>167</v>
      </c>
      <c r="O42" s="5" t="s">
        <v>672</v>
      </c>
      <c r="P42" s="7" t="s">
        <v>555</v>
      </c>
      <c r="Q42" s="42">
        <v>0.89</v>
      </c>
      <c r="R42" s="7" t="s">
        <v>682</v>
      </c>
    </row>
    <row r="43" spans="1:18" ht="28.05" customHeight="1" x14ac:dyDescent="0.3">
      <c r="A43" s="8" t="s">
        <v>549</v>
      </c>
      <c r="B43" s="9" t="s">
        <v>550</v>
      </c>
      <c r="C43" s="10" t="s">
        <v>551</v>
      </c>
      <c r="D43" s="10" t="s">
        <v>553</v>
      </c>
      <c r="E43" s="9" t="s">
        <v>479</v>
      </c>
      <c r="F43" s="9" t="s">
        <v>170</v>
      </c>
      <c r="G43" s="9" t="s">
        <v>171</v>
      </c>
      <c r="H43" s="8" t="s">
        <v>172</v>
      </c>
      <c r="I43" s="8" t="s">
        <v>173</v>
      </c>
      <c r="J43" s="8" t="s">
        <v>22</v>
      </c>
      <c r="K43" s="10" t="s">
        <v>174</v>
      </c>
      <c r="L43" s="9" t="s">
        <v>175</v>
      </c>
      <c r="M43" s="10" t="s">
        <v>176</v>
      </c>
      <c r="N43" s="10" t="s">
        <v>177</v>
      </c>
      <c r="O43" s="8" t="s">
        <v>670</v>
      </c>
      <c r="P43" s="10" t="s">
        <v>555</v>
      </c>
      <c r="Q43" s="43">
        <v>0.89</v>
      </c>
      <c r="R43" s="10" t="s">
        <v>675</v>
      </c>
    </row>
    <row r="44" spans="1:18" ht="28.05" customHeight="1" x14ac:dyDescent="0.3">
      <c r="A44" s="5" t="s">
        <v>594</v>
      </c>
      <c r="B44" s="6" t="s">
        <v>595</v>
      </c>
      <c r="C44" s="7" t="s">
        <v>596</v>
      </c>
      <c r="D44" s="7" t="s">
        <v>598</v>
      </c>
      <c r="E44" s="6" t="s">
        <v>479</v>
      </c>
      <c r="F44" s="6" t="s">
        <v>181</v>
      </c>
      <c r="G44" s="6" t="s">
        <v>182</v>
      </c>
      <c r="H44" s="5" t="s">
        <v>183</v>
      </c>
      <c r="I44" s="5" t="s">
        <v>184</v>
      </c>
      <c r="J44" s="5" t="s">
        <v>22</v>
      </c>
      <c r="K44" s="7" t="s">
        <v>185</v>
      </c>
      <c r="L44" s="6" t="s">
        <v>186</v>
      </c>
      <c r="M44" s="7" t="s">
        <v>187</v>
      </c>
      <c r="N44" s="7" t="s">
        <v>188</v>
      </c>
      <c r="O44" s="5" t="s">
        <v>672</v>
      </c>
      <c r="P44" s="7" t="s">
        <v>483</v>
      </c>
      <c r="Q44" s="42">
        <v>1</v>
      </c>
      <c r="R44" s="7" t="s">
        <v>683</v>
      </c>
    </row>
    <row r="45" spans="1:18" ht="28.05" customHeight="1" x14ac:dyDescent="0.3">
      <c r="A45" s="8" t="s">
        <v>594</v>
      </c>
      <c r="B45" s="9" t="s">
        <v>595</v>
      </c>
      <c r="C45" s="10" t="s">
        <v>596</v>
      </c>
      <c r="D45" s="10" t="s">
        <v>598</v>
      </c>
      <c r="E45" s="9" t="s">
        <v>479</v>
      </c>
      <c r="F45" s="9" t="s">
        <v>193</v>
      </c>
      <c r="G45" s="9" t="s">
        <v>194</v>
      </c>
      <c r="H45" s="8" t="s">
        <v>196</v>
      </c>
      <c r="I45" s="8" t="s">
        <v>197</v>
      </c>
      <c r="J45" s="8" t="s">
        <v>129</v>
      </c>
      <c r="K45" s="10" t="s">
        <v>198</v>
      </c>
      <c r="L45" s="9" t="s">
        <v>199</v>
      </c>
      <c r="M45" s="10" t="s">
        <v>187</v>
      </c>
      <c r="N45" s="10" t="s">
        <v>188</v>
      </c>
      <c r="O45" s="8" t="s">
        <v>672</v>
      </c>
      <c r="P45" s="10" t="s">
        <v>483</v>
      </c>
      <c r="Q45" s="43">
        <v>1</v>
      </c>
      <c r="R45" s="10" t="s">
        <v>675</v>
      </c>
    </row>
    <row r="46" spans="1:18" ht="28.05" customHeight="1" x14ac:dyDescent="0.3">
      <c r="A46" s="5" t="s">
        <v>594</v>
      </c>
      <c r="B46" s="6" t="s">
        <v>595</v>
      </c>
      <c r="C46" s="7" t="s">
        <v>596</v>
      </c>
      <c r="D46" s="7" t="s">
        <v>598</v>
      </c>
      <c r="E46" s="6" t="s">
        <v>479</v>
      </c>
      <c r="F46" s="6" t="s">
        <v>202</v>
      </c>
      <c r="G46" s="6" t="s">
        <v>203</v>
      </c>
      <c r="H46" s="5" t="s">
        <v>205</v>
      </c>
      <c r="I46" s="5" t="s">
        <v>206</v>
      </c>
      <c r="J46" s="5" t="s">
        <v>107</v>
      </c>
      <c r="K46" s="7" t="s">
        <v>207</v>
      </c>
      <c r="L46" s="6" t="s">
        <v>208</v>
      </c>
      <c r="M46" s="7" t="s">
        <v>187</v>
      </c>
      <c r="N46" s="7" t="s">
        <v>209</v>
      </c>
      <c r="O46" s="5" t="s">
        <v>672</v>
      </c>
      <c r="P46" s="7" t="s">
        <v>483</v>
      </c>
      <c r="Q46" s="42">
        <v>1</v>
      </c>
      <c r="R46" s="7" t="s">
        <v>675</v>
      </c>
    </row>
    <row r="47" spans="1:18" ht="28.05" customHeight="1" x14ac:dyDescent="0.3">
      <c r="A47" s="8" t="s">
        <v>586</v>
      </c>
      <c r="B47" s="9" t="s">
        <v>587</v>
      </c>
      <c r="C47" s="10" t="s">
        <v>588</v>
      </c>
      <c r="D47" s="10" t="s">
        <v>590</v>
      </c>
      <c r="E47" s="9" t="s">
        <v>479</v>
      </c>
      <c r="F47" s="9" t="s">
        <v>213</v>
      </c>
      <c r="G47" s="9" t="s">
        <v>214</v>
      </c>
      <c r="H47" s="8" t="s">
        <v>215</v>
      </c>
      <c r="I47" s="8" t="s">
        <v>216</v>
      </c>
      <c r="J47" s="8" t="s">
        <v>22</v>
      </c>
      <c r="K47" s="10" t="s">
        <v>217</v>
      </c>
      <c r="L47" s="9" t="s">
        <v>218</v>
      </c>
      <c r="M47" s="10" t="s">
        <v>219</v>
      </c>
      <c r="N47" s="10" t="s">
        <v>220</v>
      </c>
      <c r="O47" s="8" t="s">
        <v>672</v>
      </c>
      <c r="P47" s="10" t="s">
        <v>483</v>
      </c>
      <c r="Q47" s="43">
        <v>1</v>
      </c>
      <c r="R47" s="10" t="s">
        <v>684</v>
      </c>
    </row>
    <row r="48" spans="1:18" ht="28.05" customHeight="1" x14ac:dyDescent="0.3">
      <c r="A48" s="5" t="s">
        <v>586</v>
      </c>
      <c r="B48" s="6" t="s">
        <v>587</v>
      </c>
      <c r="C48" s="7" t="s">
        <v>588</v>
      </c>
      <c r="D48" s="7" t="s">
        <v>590</v>
      </c>
      <c r="E48" s="6" t="s">
        <v>479</v>
      </c>
      <c r="F48" s="6" t="s">
        <v>225</v>
      </c>
      <c r="G48" s="6" t="s">
        <v>226</v>
      </c>
      <c r="H48" s="5" t="s">
        <v>227</v>
      </c>
      <c r="I48" s="5" t="s">
        <v>228</v>
      </c>
      <c r="J48" s="5" t="s">
        <v>22</v>
      </c>
      <c r="K48" s="7" t="s">
        <v>229</v>
      </c>
      <c r="L48" s="6" t="s">
        <v>230</v>
      </c>
      <c r="M48" s="7" t="s">
        <v>219</v>
      </c>
      <c r="N48" s="7" t="s">
        <v>231</v>
      </c>
      <c r="O48" s="5" t="s">
        <v>672</v>
      </c>
      <c r="P48" s="7" t="s">
        <v>483</v>
      </c>
      <c r="Q48" s="42">
        <v>1</v>
      </c>
      <c r="R48" s="7" t="s">
        <v>675</v>
      </c>
    </row>
    <row r="49" spans="1:18" ht="28.05" customHeight="1" x14ac:dyDescent="0.3">
      <c r="A49" s="8" t="s">
        <v>522</v>
      </c>
      <c r="B49" s="9" t="s">
        <v>523</v>
      </c>
      <c r="C49" s="10" t="s">
        <v>524</v>
      </c>
      <c r="D49" s="10" t="s">
        <v>526</v>
      </c>
      <c r="E49" s="9" t="s">
        <v>479</v>
      </c>
      <c r="F49" s="9" t="s">
        <v>235</v>
      </c>
      <c r="G49" s="9" t="s">
        <v>236</v>
      </c>
      <c r="H49" s="8" t="s">
        <v>238</v>
      </c>
      <c r="I49" s="8" t="s">
        <v>239</v>
      </c>
      <c r="J49" s="8" t="s">
        <v>22</v>
      </c>
      <c r="K49" s="10" t="s">
        <v>240</v>
      </c>
      <c r="L49" s="9" t="s">
        <v>241</v>
      </c>
      <c r="M49" s="10" t="s">
        <v>242</v>
      </c>
      <c r="N49" s="10" t="s">
        <v>243</v>
      </c>
      <c r="O49" s="8" t="s">
        <v>672</v>
      </c>
      <c r="P49" s="10" t="s">
        <v>483</v>
      </c>
      <c r="Q49" s="43">
        <v>1</v>
      </c>
      <c r="R49" s="10" t="s">
        <v>685</v>
      </c>
    </row>
    <row r="50" spans="1:18" ht="28.05" customHeight="1" x14ac:dyDescent="0.3">
      <c r="A50" s="5" t="s">
        <v>522</v>
      </c>
      <c r="B50" s="6" t="s">
        <v>523</v>
      </c>
      <c r="C50" s="7" t="s">
        <v>524</v>
      </c>
      <c r="D50" s="7" t="s">
        <v>526</v>
      </c>
      <c r="E50" s="6" t="s">
        <v>479</v>
      </c>
      <c r="F50" s="6" t="s">
        <v>248</v>
      </c>
      <c r="G50" s="6" t="s">
        <v>249</v>
      </c>
      <c r="H50" s="5" t="s">
        <v>251</v>
      </c>
      <c r="I50" s="5" t="s">
        <v>252</v>
      </c>
      <c r="J50" s="5" t="s">
        <v>36</v>
      </c>
      <c r="K50" s="7" t="s">
        <v>253</v>
      </c>
      <c r="L50" s="6" t="s">
        <v>254</v>
      </c>
      <c r="M50" s="7" t="s">
        <v>255</v>
      </c>
      <c r="N50" s="7" t="s">
        <v>256</v>
      </c>
      <c r="O50" s="5" t="s">
        <v>670</v>
      </c>
      <c r="P50" s="7" t="s">
        <v>483</v>
      </c>
      <c r="Q50" s="42">
        <v>1</v>
      </c>
      <c r="R50" s="7" t="s">
        <v>675</v>
      </c>
    </row>
    <row r="51" spans="1:18" ht="28.05" customHeight="1" x14ac:dyDescent="0.3">
      <c r="A51" s="8" t="s">
        <v>540</v>
      </c>
      <c r="B51" s="9" t="s">
        <v>541</v>
      </c>
      <c r="C51" s="10" t="s">
        <v>542</v>
      </c>
      <c r="D51" s="10" t="s">
        <v>545</v>
      </c>
      <c r="E51" s="9" t="s">
        <v>544</v>
      </c>
      <c r="F51" s="9" t="s">
        <v>259</v>
      </c>
      <c r="G51" s="9" t="s">
        <v>260</v>
      </c>
      <c r="H51" s="8" t="s">
        <v>261</v>
      </c>
      <c r="I51" s="8" t="s">
        <v>262</v>
      </c>
      <c r="J51" s="8" t="s">
        <v>22</v>
      </c>
      <c r="K51" s="10" t="s">
        <v>263</v>
      </c>
      <c r="L51" s="9" t="s">
        <v>264</v>
      </c>
      <c r="M51" s="10" t="s">
        <v>265</v>
      </c>
      <c r="N51" s="10" t="s">
        <v>266</v>
      </c>
      <c r="O51" s="8" t="s">
        <v>670</v>
      </c>
      <c r="P51" s="10" t="s">
        <v>483</v>
      </c>
      <c r="Q51" s="43">
        <v>1</v>
      </c>
      <c r="R51" s="10" t="s">
        <v>686</v>
      </c>
    </row>
    <row r="52" spans="1:18" ht="28.05" customHeight="1" x14ac:dyDescent="0.3">
      <c r="A52" s="5" t="s">
        <v>540</v>
      </c>
      <c r="B52" s="6" t="s">
        <v>541</v>
      </c>
      <c r="C52" s="7" t="s">
        <v>542</v>
      </c>
      <c r="D52" s="7" t="s">
        <v>545</v>
      </c>
      <c r="E52" s="6" t="s">
        <v>544</v>
      </c>
      <c r="F52" s="6" t="s">
        <v>270</v>
      </c>
      <c r="G52" s="6" t="s">
        <v>271</v>
      </c>
      <c r="H52" s="5" t="s">
        <v>273</v>
      </c>
      <c r="I52" s="5" t="s">
        <v>274</v>
      </c>
      <c r="J52" s="5" t="s">
        <v>36</v>
      </c>
      <c r="K52" s="7" t="s">
        <v>275</v>
      </c>
      <c r="L52" s="6" t="s">
        <v>276</v>
      </c>
      <c r="M52" s="7" t="s">
        <v>277</v>
      </c>
      <c r="N52" s="7" t="s">
        <v>278</v>
      </c>
      <c r="O52" s="5" t="s">
        <v>672</v>
      </c>
      <c r="P52" s="7" t="s">
        <v>483</v>
      </c>
      <c r="Q52" s="42">
        <v>1</v>
      </c>
      <c r="R52" s="7" t="s">
        <v>675</v>
      </c>
    </row>
    <row r="53" spans="1:18" ht="28.05" customHeight="1" x14ac:dyDescent="0.3">
      <c r="A53" s="8" t="s">
        <v>558</v>
      </c>
      <c r="B53" s="9" t="s">
        <v>559</v>
      </c>
      <c r="C53" s="10" t="s">
        <v>560</v>
      </c>
      <c r="D53" s="10" t="s">
        <v>564</v>
      </c>
      <c r="E53" s="9" t="s">
        <v>562</v>
      </c>
      <c r="F53" s="9" t="s">
        <v>282</v>
      </c>
      <c r="G53" s="9" t="s">
        <v>283</v>
      </c>
      <c r="H53" s="8" t="s">
        <v>285</v>
      </c>
      <c r="I53" s="8" t="s">
        <v>286</v>
      </c>
      <c r="J53" s="8" t="s">
        <v>22</v>
      </c>
      <c r="K53" s="10" t="s">
        <v>287</v>
      </c>
      <c r="L53" s="9" t="s">
        <v>288</v>
      </c>
      <c r="M53" s="10" t="s">
        <v>289</v>
      </c>
      <c r="N53" s="10" t="s">
        <v>290</v>
      </c>
      <c r="O53" s="8" t="s">
        <v>672</v>
      </c>
      <c r="P53" s="10" t="s">
        <v>483</v>
      </c>
      <c r="Q53" s="43">
        <v>1</v>
      </c>
      <c r="R53" s="10" t="s">
        <v>687</v>
      </c>
    </row>
    <row r="54" spans="1:18" ht="28.05" customHeight="1" x14ac:dyDescent="0.3">
      <c r="A54" s="5" t="s">
        <v>558</v>
      </c>
      <c r="B54" s="6" t="s">
        <v>559</v>
      </c>
      <c r="C54" s="7" t="s">
        <v>560</v>
      </c>
      <c r="D54" s="7" t="s">
        <v>564</v>
      </c>
      <c r="E54" s="6" t="s">
        <v>562</v>
      </c>
      <c r="F54" s="6" t="s">
        <v>295</v>
      </c>
      <c r="G54" s="6" t="s">
        <v>296</v>
      </c>
      <c r="H54" s="5" t="s">
        <v>298</v>
      </c>
      <c r="I54" s="5" t="s">
        <v>299</v>
      </c>
      <c r="J54" s="5" t="s">
        <v>36</v>
      </c>
      <c r="K54" s="7" t="s">
        <v>300</v>
      </c>
      <c r="L54" s="6" t="s">
        <v>301</v>
      </c>
      <c r="M54" s="7" t="s">
        <v>302</v>
      </c>
      <c r="N54" s="7" t="s">
        <v>303</v>
      </c>
      <c r="O54" s="5" t="s">
        <v>670</v>
      </c>
      <c r="P54" s="7" t="s">
        <v>483</v>
      </c>
      <c r="Q54" s="42">
        <v>1</v>
      </c>
      <c r="R54" s="7" t="s">
        <v>675</v>
      </c>
    </row>
    <row r="55" spans="1:18" ht="28.05" customHeight="1" x14ac:dyDescent="0.3">
      <c r="A55" s="8" t="s">
        <v>568</v>
      </c>
      <c r="B55" s="9" t="s">
        <v>569</v>
      </c>
      <c r="C55" s="10" t="s">
        <v>570</v>
      </c>
      <c r="D55" s="10" t="s">
        <v>574</v>
      </c>
      <c r="E55" s="9" t="s">
        <v>572</v>
      </c>
      <c r="F55" s="9" t="s">
        <v>306</v>
      </c>
      <c r="G55" s="9" t="s">
        <v>307</v>
      </c>
      <c r="H55" s="8" t="s">
        <v>308</v>
      </c>
      <c r="I55" s="8" t="s">
        <v>309</v>
      </c>
      <c r="J55" s="8" t="s">
        <v>22</v>
      </c>
      <c r="K55" s="10" t="s">
        <v>310</v>
      </c>
      <c r="L55" s="9" t="s">
        <v>311</v>
      </c>
      <c r="M55" s="10" t="s">
        <v>312</v>
      </c>
      <c r="N55" s="10" t="s">
        <v>313</v>
      </c>
      <c r="O55" s="8" t="s">
        <v>672</v>
      </c>
      <c r="P55" s="10" t="s">
        <v>483</v>
      </c>
      <c r="Q55" s="43">
        <v>1</v>
      </c>
      <c r="R55" s="10" t="s">
        <v>688</v>
      </c>
    </row>
    <row r="56" spans="1:18" ht="28.05" customHeight="1" x14ac:dyDescent="0.3">
      <c r="A56" s="5" t="s">
        <v>568</v>
      </c>
      <c r="B56" s="6" t="s">
        <v>569</v>
      </c>
      <c r="C56" s="7" t="s">
        <v>570</v>
      </c>
      <c r="D56" s="7" t="s">
        <v>574</v>
      </c>
      <c r="E56" s="6" t="s">
        <v>572</v>
      </c>
      <c r="F56" s="6" t="s">
        <v>318</v>
      </c>
      <c r="G56" s="6" t="s">
        <v>319</v>
      </c>
      <c r="H56" s="5" t="s">
        <v>321</v>
      </c>
      <c r="I56" s="5" t="s">
        <v>322</v>
      </c>
      <c r="J56" s="5" t="s">
        <v>36</v>
      </c>
      <c r="K56" s="7" t="s">
        <v>323</v>
      </c>
      <c r="L56" s="6" t="s">
        <v>324</v>
      </c>
      <c r="M56" s="7" t="s">
        <v>325</v>
      </c>
      <c r="N56" s="7" t="s">
        <v>326</v>
      </c>
      <c r="O56" s="5" t="s">
        <v>672</v>
      </c>
      <c r="P56" s="7" t="s">
        <v>483</v>
      </c>
      <c r="Q56" s="42">
        <v>1</v>
      </c>
      <c r="R56" s="7" t="s">
        <v>675</v>
      </c>
    </row>
    <row r="57" spans="1:18" ht="28.05" customHeight="1" x14ac:dyDescent="0.3">
      <c r="A57" s="8" t="s">
        <v>629</v>
      </c>
      <c r="B57" s="9" t="s">
        <v>630</v>
      </c>
      <c r="C57" s="10" t="s">
        <v>631</v>
      </c>
      <c r="D57" s="10" t="s">
        <v>634</v>
      </c>
      <c r="E57" s="9" t="s">
        <v>633</v>
      </c>
      <c r="F57" s="9" t="s">
        <v>330</v>
      </c>
      <c r="G57" s="9" t="s">
        <v>331</v>
      </c>
      <c r="H57" s="8" t="s">
        <v>332</v>
      </c>
      <c r="I57" s="8" t="s">
        <v>47</v>
      </c>
      <c r="J57" s="8" t="s">
        <v>22</v>
      </c>
      <c r="K57" s="10" t="s">
        <v>333</v>
      </c>
      <c r="L57" s="9" t="s">
        <v>334</v>
      </c>
      <c r="M57" s="10" t="s">
        <v>335</v>
      </c>
      <c r="N57" s="10" t="s">
        <v>336</v>
      </c>
      <c r="O57" s="8" t="s">
        <v>670</v>
      </c>
      <c r="P57" s="10" t="s">
        <v>636</v>
      </c>
      <c r="Q57" s="43">
        <v>1</v>
      </c>
      <c r="R57" s="10" t="s">
        <v>689</v>
      </c>
    </row>
    <row r="58" spans="1:18" ht="28.05" customHeight="1" x14ac:dyDescent="0.3">
      <c r="A58" s="5" t="s">
        <v>629</v>
      </c>
      <c r="B58" s="6" t="s">
        <v>630</v>
      </c>
      <c r="C58" s="7" t="s">
        <v>631</v>
      </c>
      <c r="D58" s="7" t="s">
        <v>634</v>
      </c>
      <c r="E58" s="6" t="s">
        <v>633</v>
      </c>
      <c r="F58" s="6" t="s">
        <v>340</v>
      </c>
      <c r="G58" s="6" t="s">
        <v>341</v>
      </c>
      <c r="H58" s="5" t="s">
        <v>343</v>
      </c>
      <c r="I58" s="5" t="s">
        <v>344</v>
      </c>
      <c r="J58" s="5" t="s">
        <v>36</v>
      </c>
      <c r="K58" s="7" t="s">
        <v>345</v>
      </c>
      <c r="L58" s="6" t="s">
        <v>346</v>
      </c>
      <c r="M58" s="7" t="s">
        <v>347</v>
      </c>
      <c r="N58" s="7" t="s">
        <v>348</v>
      </c>
      <c r="O58" s="5" t="s">
        <v>672</v>
      </c>
      <c r="P58" s="7" t="s">
        <v>690</v>
      </c>
      <c r="Q58" s="42">
        <v>1</v>
      </c>
      <c r="R58" s="7" t="s">
        <v>675</v>
      </c>
    </row>
    <row r="59" spans="1:18" ht="28.05" customHeight="1" x14ac:dyDescent="0.3">
      <c r="A59" s="8" t="s">
        <v>639</v>
      </c>
      <c r="B59" s="9" t="s">
        <v>640</v>
      </c>
      <c r="C59" s="10" t="s">
        <v>641</v>
      </c>
      <c r="D59" s="10" t="s">
        <v>643</v>
      </c>
      <c r="E59" s="9" t="s">
        <v>562</v>
      </c>
      <c r="F59" s="9" t="s">
        <v>352</v>
      </c>
      <c r="G59" s="9" t="s">
        <v>353</v>
      </c>
      <c r="H59" s="8" t="s">
        <v>354</v>
      </c>
      <c r="I59" s="8" t="s">
        <v>355</v>
      </c>
      <c r="J59" s="8" t="s">
        <v>22</v>
      </c>
      <c r="K59" s="10" t="s">
        <v>356</v>
      </c>
      <c r="L59" s="9" t="s">
        <v>357</v>
      </c>
      <c r="M59" s="10" t="s">
        <v>358</v>
      </c>
      <c r="N59" s="10" t="s">
        <v>359</v>
      </c>
      <c r="O59" s="8" t="s">
        <v>672</v>
      </c>
      <c r="P59" s="10" t="s">
        <v>483</v>
      </c>
      <c r="Q59" s="43">
        <v>1</v>
      </c>
      <c r="R59" s="10" t="s">
        <v>691</v>
      </c>
    </row>
    <row r="60" spans="1:18" ht="28.05" customHeight="1" x14ac:dyDescent="0.3">
      <c r="A60" s="5" t="s">
        <v>639</v>
      </c>
      <c r="B60" s="6" t="s">
        <v>640</v>
      </c>
      <c r="C60" s="7" t="s">
        <v>641</v>
      </c>
      <c r="D60" s="7" t="s">
        <v>643</v>
      </c>
      <c r="E60" s="6" t="s">
        <v>562</v>
      </c>
      <c r="F60" s="6" t="s">
        <v>364</v>
      </c>
      <c r="G60" s="6" t="s">
        <v>365</v>
      </c>
      <c r="H60" s="5" t="s">
        <v>367</v>
      </c>
      <c r="I60" s="5" t="s">
        <v>368</v>
      </c>
      <c r="J60" s="5" t="s">
        <v>36</v>
      </c>
      <c r="K60" s="7" t="s">
        <v>369</v>
      </c>
      <c r="L60" s="6" t="s">
        <v>370</v>
      </c>
      <c r="M60" s="7" t="s">
        <v>371</v>
      </c>
      <c r="N60" s="7" t="s">
        <v>372</v>
      </c>
      <c r="O60" s="5" t="s">
        <v>670</v>
      </c>
      <c r="P60" s="7" t="s">
        <v>483</v>
      </c>
      <c r="Q60" s="42">
        <v>1</v>
      </c>
      <c r="R60" s="7" t="s">
        <v>675</v>
      </c>
    </row>
    <row r="61" spans="1:18" ht="28.05" customHeight="1" x14ac:dyDescent="0.3">
      <c r="A61" s="8" t="s">
        <v>578</v>
      </c>
      <c r="B61" s="9" t="s">
        <v>579</v>
      </c>
      <c r="C61" s="10" t="s">
        <v>580</v>
      </c>
      <c r="D61" s="10" t="s">
        <v>582</v>
      </c>
      <c r="E61" s="9" t="s">
        <v>479</v>
      </c>
      <c r="F61" s="9" t="s">
        <v>375</v>
      </c>
      <c r="G61" s="9" t="s">
        <v>376</v>
      </c>
      <c r="H61" s="8" t="s">
        <v>378</v>
      </c>
      <c r="I61" s="8" t="s">
        <v>379</v>
      </c>
      <c r="J61" s="8" t="s">
        <v>36</v>
      </c>
      <c r="K61" s="10" t="s">
        <v>380</v>
      </c>
      <c r="L61" s="9" t="s">
        <v>381</v>
      </c>
      <c r="M61" s="10" t="s">
        <v>382</v>
      </c>
      <c r="N61" s="10" t="s">
        <v>383</v>
      </c>
      <c r="O61" s="8" t="s">
        <v>670</v>
      </c>
      <c r="P61" s="10" t="s">
        <v>483</v>
      </c>
      <c r="Q61" s="43">
        <v>1</v>
      </c>
      <c r="R61" s="10" t="s">
        <v>692</v>
      </c>
    </row>
    <row r="62" spans="1:18" ht="28.05" customHeight="1" x14ac:dyDescent="0.3">
      <c r="A62" s="5" t="s">
        <v>620</v>
      </c>
      <c r="B62" s="6" t="s">
        <v>621</v>
      </c>
      <c r="C62" s="7" t="s">
        <v>622</v>
      </c>
      <c r="D62" s="7" t="s">
        <v>624</v>
      </c>
      <c r="E62" s="6" t="s">
        <v>508</v>
      </c>
      <c r="F62" s="6" t="s">
        <v>387</v>
      </c>
      <c r="G62" s="6" t="s">
        <v>388</v>
      </c>
      <c r="H62" s="5" t="s">
        <v>390</v>
      </c>
      <c r="I62" s="5" t="s">
        <v>391</v>
      </c>
      <c r="J62" s="5" t="s">
        <v>36</v>
      </c>
      <c r="K62" s="7" t="s">
        <v>392</v>
      </c>
      <c r="L62" s="6" t="s">
        <v>393</v>
      </c>
      <c r="M62" s="7" t="s">
        <v>394</v>
      </c>
      <c r="N62" s="7" t="s">
        <v>395</v>
      </c>
      <c r="O62" s="5" t="s">
        <v>672</v>
      </c>
      <c r="P62" s="7" t="s">
        <v>626</v>
      </c>
      <c r="Q62" s="42">
        <v>1</v>
      </c>
      <c r="R62" s="7" t="s">
        <v>693</v>
      </c>
    </row>
    <row r="63" spans="1:18" ht="28.05" customHeight="1" x14ac:dyDescent="0.3">
      <c r="A63" s="8" t="s">
        <v>611</v>
      </c>
      <c r="B63" s="9" t="s">
        <v>612</v>
      </c>
      <c r="C63" s="10" t="s">
        <v>613</v>
      </c>
      <c r="D63" s="10" t="s">
        <v>615</v>
      </c>
      <c r="E63" s="9" t="s">
        <v>508</v>
      </c>
      <c r="F63" s="9" t="s">
        <v>400</v>
      </c>
      <c r="G63" s="9" t="s">
        <v>401</v>
      </c>
      <c r="H63" s="8" t="s">
        <v>403</v>
      </c>
      <c r="I63" s="8" t="s">
        <v>404</v>
      </c>
      <c r="J63" s="8" t="s">
        <v>36</v>
      </c>
      <c r="K63" s="10" t="s">
        <v>405</v>
      </c>
      <c r="L63" s="9" t="s">
        <v>406</v>
      </c>
      <c r="M63" s="10" t="s">
        <v>407</v>
      </c>
      <c r="N63" s="10" t="s">
        <v>408</v>
      </c>
      <c r="O63" s="8" t="s">
        <v>670</v>
      </c>
      <c r="P63" s="10" t="s">
        <v>617</v>
      </c>
      <c r="Q63" s="43">
        <v>1</v>
      </c>
      <c r="R63" s="10" t="s">
        <v>694</v>
      </c>
    </row>
    <row r="64" spans="1:18" ht="28.05" customHeight="1" x14ac:dyDescent="0.3">
      <c r="A64" s="5" t="s">
        <v>494</v>
      </c>
      <c r="B64" s="6" t="s">
        <v>495</v>
      </c>
      <c r="C64" s="7" t="s">
        <v>496</v>
      </c>
      <c r="D64" s="7" t="s">
        <v>500</v>
      </c>
      <c r="E64" s="6" t="s">
        <v>498</v>
      </c>
      <c r="F64" s="6" t="s">
        <v>412</v>
      </c>
      <c r="G64" s="6" t="s">
        <v>413</v>
      </c>
      <c r="H64" s="5" t="s">
        <v>415</v>
      </c>
      <c r="I64" s="5" t="s">
        <v>416</v>
      </c>
      <c r="J64" s="5" t="s">
        <v>36</v>
      </c>
      <c r="K64" s="7" t="s">
        <v>417</v>
      </c>
      <c r="L64" s="6" t="s">
        <v>418</v>
      </c>
      <c r="M64" s="7" t="s">
        <v>419</v>
      </c>
      <c r="N64" s="7" t="s">
        <v>420</v>
      </c>
      <c r="O64" s="5" t="s">
        <v>670</v>
      </c>
      <c r="P64" s="7" t="s">
        <v>483</v>
      </c>
      <c r="Q64" s="42">
        <v>1</v>
      </c>
      <c r="R64" s="7" t="s">
        <v>695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
  <sheetViews>
    <sheetView workbookViewId="0">
      <selection activeCell="A2" sqref="A2:XFD2"/>
    </sheetView>
  </sheetViews>
  <sheetFormatPr defaultRowHeight="14.4" x14ac:dyDescent="0.3"/>
  <cols>
    <col min="1" max="2" width="28" customWidth="1"/>
    <col min="3" max="5" width="38" customWidth="1"/>
    <col min="6" max="6" width="24" customWidth="1"/>
  </cols>
  <sheetData>
    <row r="1" spans="1:6" ht="17.399999999999999" x14ac:dyDescent="0.35">
      <c r="A1" s="1" t="s">
        <v>696</v>
      </c>
    </row>
    <row r="2" spans="1:6" x14ac:dyDescent="0.3">
      <c r="A2" s="2"/>
    </row>
    <row r="4" spans="1:6" x14ac:dyDescent="0.3">
      <c r="A4" s="14" t="s">
        <v>697</v>
      </c>
    </row>
    <row r="5" spans="1:6" ht="25.95" customHeight="1" x14ac:dyDescent="0.3">
      <c r="A5" s="4" t="s">
        <v>698</v>
      </c>
      <c r="B5" s="4" t="s">
        <v>699</v>
      </c>
      <c r="C5" s="3" t="s">
        <v>700</v>
      </c>
      <c r="D5" s="3" t="s">
        <v>701</v>
      </c>
      <c r="E5" s="3" t="s">
        <v>702</v>
      </c>
      <c r="F5" s="4" t="s">
        <v>703</v>
      </c>
    </row>
    <row r="6" spans="1:6" ht="28.05" customHeight="1" x14ac:dyDescent="0.3">
      <c r="A6" s="44" t="s">
        <v>704</v>
      </c>
      <c r="B6" s="17" t="s">
        <v>705</v>
      </c>
      <c r="C6" s="45">
        <v>20</v>
      </c>
      <c r="D6" s="45">
        <v>38</v>
      </c>
      <c r="E6" s="45" t="s">
        <v>706</v>
      </c>
      <c r="F6" s="17" t="s">
        <v>707</v>
      </c>
    </row>
    <row r="7" spans="1:6" ht="28.05" customHeight="1" x14ac:dyDescent="0.3">
      <c r="A7" s="46" t="s">
        <v>708</v>
      </c>
      <c r="B7" s="27" t="s">
        <v>709</v>
      </c>
      <c r="C7" s="47">
        <v>11</v>
      </c>
      <c r="D7" s="47">
        <v>27</v>
      </c>
      <c r="E7" s="47" t="s">
        <v>710</v>
      </c>
      <c r="F7" s="27" t="s">
        <v>711</v>
      </c>
    </row>
    <row r="8" spans="1:6" ht="28.05" customHeight="1" x14ac:dyDescent="0.3">
      <c r="A8" s="44" t="s">
        <v>712</v>
      </c>
      <c r="B8" s="17" t="s">
        <v>713</v>
      </c>
      <c r="C8" s="45">
        <v>2</v>
      </c>
      <c r="D8" s="45">
        <v>4</v>
      </c>
      <c r="E8" s="45" t="s">
        <v>714</v>
      </c>
      <c r="F8" s="17" t="s">
        <v>715</v>
      </c>
    </row>
    <row r="9" spans="1:6" ht="28.05" customHeight="1" x14ac:dyDescent="0.3">
      <c r="A9" s="46" t="s">
        <v>716</v>
      </c>
      <c r="B9" s="27" t="s">
        <v>717</v>
      </c>
      <c r="C9" s="47">
        <v>3</v>
      </c>
      <c r="D9" s="47">
        <v>4</v>
      </c>
      <c r="E9" s="47" t="s">
        <v>714</v>
      </c>
      <c r="F9" s="27" t="s">
        <v>718</v>
      </c>
    </row>
    <row r="10" spans="1:6" ht="28.05" customHeight="1" x14ac:dyDescent="0.3">
      <c r="A10" s="44" t="s">
        <v>719</v>
      </c>
      <c r="B10" s="17" t="s">
        <v>720</v>
      </c>
      <c r="C10" s="45">
        <v>0</v>
      </c>
      <c r="D10" s="45">
        <v>-3</v>
      </c>
      <c r="E10" s="45" t="s">
        <v>721</v>
      </c>
      <c r="F10" s="17" t="s">
        <v>722</v>
      </c>
    </row>
    <row r="11" spans="1:6" ht="28.05" customHeight="1" x14ac:dyDescent="0.3">
      <c r="A11" s="46" t="s">
        <v>723</v>
      </c>
      <c r="B11" s="27" t="s">
        <v>724</v>
      </c>
      <c r="C11" s="47">
        <v>4</v>
      </c>
      <c r="D11" s="47">
        <v>0</v>
      </c>
      <c r="E11" s="47" t="s">
        <v>725</v>
      </c>
      <c r="F11" s="27" t="s">
        <v>726</v>
      </c>
    </row>
    <row r="12" spans="1:6" ht="28.05" customHeight="1" x14ac:dyDescent="0.3">
      <c r="A12" s="48" t="s">
        <v>727</v>
      </c>
      <c r="B12" s="48" t="s">
        <v>728</v>
      </c>
      <c r="C12" s="49">
        <v>16</v>
      </c>
      <c r="D12" s="49">
        <v>35</v>
      </c>
      <c r="E12" s="49" t="s">
        <v>729</v>
      </c>
      <c r="F12" s="48" t="s">
        <v>730</v>
      </c>
    </row>
    <row r="14" spans="1:6" x14ac:dyDescent="0.3">
      <c r="A14" s="14" t="s">
        <v>731</v>
      </c>
    </row>
    <row r="15" spans="1:6" ht="25.05" customHeight="1" x14ac:dyDescent="0.3">
      <c r="A15" s="3" t="s">
        <v>732</v>
      </c>
      <c r="B15" s="4" t="s">
        <v>733</v>
      </c>
      <c r="C15" s="4" t="s">
        <v>734</v>
      </c>
      <c r="D15" s="3" t="s">
        <v>735</v>
      </c>
    </row>
    <row r="16" spans="1:6" ht="36" customHeight="1" x14ac:dyDescent="0.3">
      <c r="A16" s="45" t="s">
        <v>17</v>
      </c>
      <c r="B16" s="17" t="s">
        <v>736</v>
      </c>
      <c r="C16" s="17" t="s">
        <v>737</v>
      </c>
      <c r="D16" s="45">
        <v>21</v>
      </c>
    </row>
    <row r="17" spans="1:6" ht="36" customHeight="1" x14ac:dyDescent="0.3">
      <c r="A17" s="47" t="s">
        <v>180</v>
      </c>
      <c r="B17" s="27" t="s">
        <v>738</v>
      </c>
      <c r="C17" s="27" t="s">
        <v>739</v>
      </c>
      <c r="D17" s="47">
        <v>17</v>
      </c>
    </row>
    <row r="19" spans="1:6" x14ac:dyDescent="0.3">
      <c r="A19" s="14" t="s">
        <v>740</v>
      </c>
    </row>
    <row r="20" spans="1:6" ht="25.95" customHeight="1" x14ac:dyDescent="0.3">
      <c r="A20" s="3" t="s">
        <v>741</v>
      </c>
      <c r="B20" s="4" t="s">
        <v>742</v>
      </c>
      <c r="C20" s="4" t="s">
        <v>743</v>
      </c>
      <c r="D20" s="4" t="s">
        <v>744</v>
      </c>
      <c r="E20" s="4" t="s">
        <v>745</v>
      </c>
      <c r="F20" s="3" t="s">
        <v>746</v>
      </c>
    </row>
    <row r="21" spans="1:6" ht="34.049999999999997" customHeight="1" x14ac:dyDescent="0.3">
      <c r="A21" s="50" t="s">
        <v>629</v>
      </c>
      <c r="B21" s="7" t="s">
        <v>630</v>
      </c>
      <c r="C21" s="7" t="s">
        <v>335</v>
      </c>
      <c r="D21" s="7" t="s">
        <v>747</v>
      </c>
      <c r="E21" s="7" t="s">
        <v>748</v>
      </c>
      <c r="F21" s="50" t="s">
        <v>749</v>
      </c>
    </row>
    <row r="22" spans="1:6" ht="34.049999999999997" customHeight="1" x14ac:dyDescent="0.3">
      <c r="A22" s="51" t="s">
        <v>611</v>
      </c>
      <c r="B22" s="10" t="s">
        <v>612</v>
      </c>
      <c r="C22" s="10" t="s">
        <v>407</v>
      </c>
      <c r="D22" s="10" t="s">
        <v>750</v>
      </c>
      <c r="E22" s="10" t="s">
        <v>751</v>
      </c>
      <c r="F22" s="51" t="s">
        <v>749</v>
      </c>
    </row>
    <row r="23" spans="1:6" ht="34.049999999999997" customHeight="1" x14ac:dyDescent="0.3">
      <c r="A23" s="50" t="s">
        <v>620</v>
      </c>
      <c r="B23" s="7" t="s">
        <v>621</v>
      </c>
      <c r="C23" s="7" t="s">
        <v>752</v>
      </c>
      <c r="D23" s="7" t="s">
        <v>753</v>
      </c>
      <c r="E23" s="7" t="s">
        <v>754</v>
      </c>
      <c r="F23" s="50" t="s">
        <v>749</v>
      </c>
    </row>
    <row r="24" spans="1:6" ht="34.049999999999997" customHeight="1" x14ac:dyDescent="0.3">
      <c r="A24" s="51" t="s">
        <v>549</v>
      </c>
      <c r="B24" s="10" t="s">
        <v>550</v>
      </c>
      <c r="C24" s="10" t="s">
        <v>154</v>
      </c>
      <c r="D24" s="10" t="s">
        <v>755</v>
      </c>
      <c r="E24" s="10" t="s">
        <v>756</v>
      </c>
      <c r="F24" s="51" t="s">
        <v>757</v>
      </c>
    </row>
    <row r="25" spans="1:6" ht="34.049999999999997" customHeight="1" x14ac:dyDescent="0.3">
      <c r="A25" s="50" t="s">
        <v>758</v>
      </c>
      <c r="B25" s="7" t="s">
        <v>759</v>
      </c>
      <c r="C25" s="7" t="s">
        <v>760</v>
      </c>
      <c r="D25" s="7" t="s">
        <v>761</v>
      </c>
      <c r="E25" s="7" t="s">
        <v>762</v>
      </c>
      <c r="F25" s="50" t="s">
        <v>763</v>
      </c>
    </row>
    <row r="26" spans="1:6" ht="34.049999999999997" customHeight="1" x14ac:dyDescent="0.3">
      <c r="A26" s="52" t="s">
        <v>764</v>
      </c>
      <c r="B26" s="13" t="s">
        <v>765</v>
      </c>
      <c r="C26" s="13" t="s">
        <v>430</v>
      </c>
      <c r="D26" s="13" t="s">
        <v>766</v>
      </c>
      <c r="E26" s="13" t="s">
        <v>767</v>
      </c>
      <c r="F26" s="52" t="s">
        <v>433</v>
      </c>
    </row>
    <row r="27" spans="1:6" ht="34.049999999999997" customHeight="1" x14ac:dyDescent="0.3">
      <c r="A27" s="52" t="s">
        <v>768</v>
      </c>
      <c r="B27" s="13" t="s">
        <v>769</v>
      </c>
      <c r="C27" s="13" t="s">
        <v>770</v>
      </c>
      <c r="D27" s="13" t="s">
        <v>771</v>
      </c>
      <c r="E27" s="13" t="s">
        <v>772</v>
      </c>
      <c r="F27" s="52" t="s">
        <v>433</v>
      </c>
    </row>
    <row r="28" spans="1:6" ht="34.049999999999997" customHeight="1" x14ac:dyDescent="0.3">
      <c r="A28" s="52" t="s">
        <v>773</v>
      </c>
      <c r="B28" s="13" t="s">
        <v>774</v>
      </c>
      <c r="C28" s="13" t="s">
        <v>452</v>
      </c>
      <c r="D28" s="13" t="s">
        <v>775</v>
      </c>
      <c r="E28" s="13" t="s">
        <v>776</v>
      </c>
      <c r="F28" s="52" t="s">
        <v>433</v>
      </c>
    </row>
    <row r="30" spans="1:6" x14ac:dyDescent="0.3">
      <c r="A30" s="14" t="s">
        <v>777</v>
      </c>
    </row>
    <row r="31" spans="1:6" ht="48" customHeight="1" x14ac:dyDescent="0.3">
      <c r="A31" s="53" t="s">
        <v>778</v>
      </c>
      <c r="B31" s="54" t="s">
        <v>779</v>
      </c>
      <c r="C31" s="55"/>
      <c r="D31" s="55"/>
      <c r="E31" s="55"/>
      <c r="F31" s="55"/>
    </row>
    <row r="32" spans="1:6" ht="48" customHeight="1" x14ac:dyDescent="0.3">
      <c r="A32" s="53" t="s">
        <v>780</v>
      </c>
      <c r="B32" s="54" t="s">
        <v>781</v>
      </c>
      <c r="C32" s="55"/>
      <c r="D32" s="55"/>
      <c r="E32" s="55"/>
      <c r="F32" s="55"/>
    </row>
    <row r="33" spans="1:6" ht="48" customHeight="1" x14ac:dyDescent="0.3">
      <c r="A33" s="53" t="s">
        <v>782</v>
      </c>
      <c r="B33" s="54" t="s">
        <v>783</v>
      </c>
      <c r="C33" s="55"/>
      <c r="D33" s="55"/>
      <c r="E33" s="55"/>
      <c r="F33" s="55"/>
    </row>
    <row r="34" spans="1:6" ht="48" customHeight="1" x14ac:dyDescent="0.3">
      <c r="A34" s="53" t="s">
        <v>784</v>
      </c>
      <c r="B34" s="54" t="s">
        <v>785</v>
      </c>
      <c r="C34" s="55"/>
      <c r="D34" s="55"/>
      <c r="E34" s="55"/>
      <c r="F34" s="55"/>
    </row>
  </sheetData>
  <mergeCells count="4">
    <mergeCell ref="B32:F32"/>
    <mergeCell ref="B34:F34"/>
    <mergeCell ref="B31:F31"/>
    <mergeCell ref="B33:F3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i_Raw_WIPO_Data</vt:lpstr>
      <vt:lpstr>ii_Merged_Startup_WIPO_Data</vt:lpstr>
      <vt:lpstr>iii_Matching_Process_Desc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MOHD FAUZAN</cp:lastModifiedBy>
  <dcterms:created xsi:type="dcterms:W3CDTF">2026-10-18T21:29:59Z</dcterms:created>
  <dcterms:modified xsi:type="dcterms:W3CDTF">2026-10-18T21:45:52Z</dcterms:modified>
</cp:coreProperties>
</file>